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5360" windowHeight="12300" tabRatio="855" activeTab="4"/>
  </bookViews>
  <sheets>
    <sheet name="Tabla" sheetId="4" r:id="rId1"/>
    <sheet name="Bobina" sheetId="792" r:id="rId2"/>
    <sheet name="Confeccion DPK" sheetId="793" r:id="rId3"/>
    <sheet name="Confeccion Pouch" sheetId="795" r:id="rId4"/>
    <sheet name="Confeccion 4Costuras" sheetId="796" r:id="rId5"/>
  </sheets>
  <externalReferences>
    <externalReference r:id="rId6"/>
  </externalReferences>
  <definedNames>
    <definedName name="aCotizar">Tabla!$B$183:$E$183</definedName>
    <definedName name="Avellaneda">Tabla!$B$163:$E$163</definedName>
    <definedName name="BoppBlanco">Tabla!$L$36:$L$74</definedName>
    <definedName name="BoppCristal">Tabla!$I$36:$I$74</definedName>
    <definedName name="BoppMate">Tabla!$J$36:$J$74</definedName>
    <definedName name="BoppMetalizado">Tabla!$K$36:$K$74</definedName>
    <definedName name="BoppPerladoBlanco">Tabla!$M$36:$M$74</definedName>
    <definedName name="Boulogne_Ituzaingo">Tabla!$B$168:$E$168</definedName>
    <definedName name="Caba">Tabla!$B$164:$E$164</definedName>
    <definedName name="CastCristal">Tabla!$N$36:$N$74</definedName>
    <definedName name="CastMetalizado">Tabla!$O$36:$O$74</definedName>
    <definedName name="Cliente">Tabla!$C$191:$C$194</definedName>
    <definedName name="Dias">Tabla!$A$199:$A$201</definedName>
    <definedName name="Escobar">Tabla!$B$179:$E$179</definedName>
    <definedName name="EsperaXhr">Tabla!$B$181:$E$181</definedName>
    <definedName name="FoilAluminio">Tabla!$P$36:$P$74</definedName>
    <definedName name="Garin_Ezeiza">Tabla!$B$176:$E$176</definedName>
    <definedName name="JLSuarez">Tabla!$B$171:$E$171</definedName>
    <definedName name="KmApartirdelos50km">Tabla!$B$182:$E$182</definedName>
    <definedName name="LaPlata">Tabla!$B$165:$E$165</definedName>
    <definedName name="Lujan">Tabla!$B$180:$E$180</definedName>
    <definedName name="Material">Tabla!$F$15:$F$29</definedName>
    <definedName name="Merlo">Tabla!$B$174:$E$174</definedName>
    <definedName name="Moron">Tabla!$B$170:$E$170</definedName>
    <definedName name="Munro">Tabla!$B$166:$E$166</definedName>
    <definedName name="Otro">Tabla!$R$36:$R$74</definedName>
    <definedName name="PapelSeda">Tabla!$Q$36:$Q$74</definedName>
    <definedName name="Pilar">Tabla!$B$178:$E$178</definedName>
    <definedName name="PoliesterCristal">Tabla!$F$36:$F$74</definedName>
    <definedName name="PoliesterMetalizado">Tabla!$H$36:$H$74</definedName>
    <definedName name="PoliesterSaran">Tabla!$G$36:$G$74</definedName>
    <definedName name="PolietilenoBlanco">Tabla!$B$36:$B$74</definedName>
    <definedName name="PolietilenoCristal">Tabla!$A$36:$A$74</definedName>
    <definedName name="PolietilenoDpk">Tabla!$C$36:$C$74</definedName>
    <definedName name="PolietilenoEvohBco">Tabla!$E$36:$E$74</definedName>
    <definedName name="PolietilenoEvohCtal">Tabla!$D$36:$D$74</definedName>
    <definedName name="_xlnm.Print_Area" localSheetId="4">'Confeccion 4Costuras'!#REF!</definedName>
    <definedName name="_xlnm.Print_Area" localSheetId="2">'Confeccion DPK'!#REF!</definedName>
    <definedName name="_xlnm.Print_Area" localSheetId="3">'Confeccion Pouch'!#REF!</definedName>
    <definedName name="Quilmes">Tabla!$B$162:$E$162</definedName>
    <definedName name="SanFernando_BellaVista">Tabla!$B$175:$E$175</definedName>
    <definedName name="SanJusto_PPodesta">Tabla!$B$172:$E$172</definedName>
    <definedName name="SanMartin">Tabla!$B$167:$E$167</definedName>
    <definedName name="Tigre">Tabla!$B$173:$E$173</definedName>
    <definedName name="Tortuguitas___Moreno">Tabla!$B$177:$E$177</definedName>
    <definedName name="Vendedor">Tabla!$A$191:$A$194</definedName>
    <definedName name="Zona">Tabla!$B$162:$E$183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<sst xmlns="http://schemas.openxmlformats.org/spreadsheetml/2006/main" count="1302" uniqueCount="291">
  <si>
    <t>OPERATIVOS</t>
  </si>
  <si>
    <t>Sector</t>
  </si>
  <si>
    <t>Valor Hora USD</t>
  </si>
  <si>
    <t>Produccion mts x min</t>
  </si>
  <si>
    <t>Setup</t>
  </si>
  <si>
    <t>Scrap</t>
  </si>
  <si>
    <t>Impresión</t>
  </si>
  <si>
    <t>Laminanción</t>
  </si>
  <si>
    <t>Rebobinado</t>
  </si>
  <si>
    <t>Confección</t>
  </si>
  <si>
    <t>Troquel</t>
  </si>
  <si>
    <t>Picotera</t>
  </si>
  <si>
    <t>MATERIAL</t>
  </si>
  <si>
    <t>Material</t>
  </si>
  <si>
    <t>Tipo</t>
  </si>
  <si>
    <t>Peso Esp.</t>
  </si>
  <si>
    <t>Precio USD</t>
  </si>
  <si>
    <t>PlastiAndino</t>
  </si>
  <si>
    <t>Item</t>
  </si>
  <si>
    <t>Proveedor</t>
  </si>
  <si>
    <t>Valor</t>
  </si>
  <si>
    <t>Condiciones</t>
  </si>
  <si>
    <t>PolietilenoCristal</t>
  </si>
  <si>
    <t>Pe Ctal</t>
  </si>
  <si>
    <t>Ingepol</t>
  </si>
  <si>
    <t>Zipper x 11 mm</t>
  </si>
  <si>
    <t>Flexigrip</t>
  </si>
  <si>
    <t>x 1000 mts</t>
  </si>
  <si>
    <t>Valor a 30 dias F.F.</t>
  </si>
  <si>
    <t>PolietilenoBlanco</t>
  </si>
  <si>
    <t>Pe Bco</t>
  </si>
  <si>
    <t>Mateu</t>
  </si>
  <si>
    <t>Tela Doble Fax</t>
  </si>
  <si>
    <t>3M</t>
  </si>
  <si>
    <t>x 23 mts</t>
  </si>
  <si>
    <t>PolietilenoDpk</t>
  </si>
  <si>
    <t>Pe Ctal DPK</t>
  </si>
  <si>
    <t>Polifilm</t>
  </si>
  <si>
    <t>Pe Ctal Samseng</t>
  </si>
  <si>
    <t>HQ Film</t>
  </si>
  <si>
    <t>x Kgrs</t>
  </si>
  <si>
    <t>PolietilenoEvohCtal</t>
  </si>
  <si>
    <t>Pe EVOH Ctal</t>
  </si>
  <si>
    <t>Plastipren</t>
  </si>
  <si>
    <t>Pe Ctal Doypack</t>
  </si>
  <si>
    <t>U$S 2,90</t>
  </si>
  <si>
    <t>PolietilenoEvohBco</t>
  </si>
  <si>
    <t>Pe EVOH Bco</t>
  </si>
  <si>
    <t>Silvapack</t>
  </si>
  <si>
    <t>Pe Bco Doypack</t>
  </si>
  <si>
    <t>U$S 3,20</t>
  </si>
  <si>
    <t>PoliesterCristal</t>
  </si>
  <si>
    <t>Pet Ctal</t>
  </si>
  <si>
    <t>Enimar</t>
  </si>
  <si>
    <t>Pe Ctal Pastas</t>
  </si>
  <si>
    <t>PoliesterSaran</t>
  </si>
  <si>
    <t>Pet Saran</t>
  </si>
  <si>
    <t>Osda</t>
  </si>
  <si>
    <t>Pet Ctal 12 mic</t>
  </si>
  <si>
    <t>U$S 4.50</t>
  </si>
  <si>
    <t>PoliesterMetalizado</t>
  </si>
  <si>
    <t>Pet Met</t>
  </si>
  <si>
    <t>Dalfilm</t>
  </si>
  <si>
    <t>Pet Ctal Saran 14 mic</t>
  </si>
  <si>
    <t>U$S 7.40</t>
  </si>
  <si>
    <t>BoppCristal</t>
  </si>
  <si>
    <t>Bopp Ctal</t>
  </si>
  <si>
    <t>Alufilm</t>
  </si>
  <si>
    <t>Bopp ctal 20 a 35 mic</t>
  </si>
  <si>
    <t>U$S 3.50</t>
  </si>
  <si>
    <t>BoppMate</t>
  </si>
  <si>
    <t>Bopp Mat</t>
  </si>
  <si>
    <t>Vitopel</t>
  </si>
  <si>
    <t>Bopp Met 20 a 35 mic</t>
  </si>
  <si>
    <t>U$S 4.45</t>
  </si>
  <si>
    <t>BoppMetalizado</t>
  </si>
  <si>
    <t>Bopp Met</t>
  </si>
  <si>
    <t>Copyfilm</t>
  </si>
  <si>
    <t>U$S 3.80</t>
  </si>
  <si>
    <t>Contado</t>
  </si>
  <si>
    <t>BoppBlanco</t>
  </si>
  <si>
    <t>Bopp Bco</t>
  </si>
  <si>
    <t>BoppPerladoBlanco</t>
  </si>
  <si>
    <t>Bopp  Per Bco</t>
  </si>
  <si>
    <t>Tratitran</t>
  </si>
  <si>
    <t>Bopp ctal</t>
  </si>
  <si>
    <t>U$S 3.70</t>
  </si>
  <si>
    <t>Menos de 5 Tn</t>
  </si>
  <si>
    <t>CastCristal</t>
  </si>
  <si>
    <t>Cast Ctal</t>
  </si>
  <si>
    <t>Otro</t>
  </si>
  <si>
    <t>Bopp Met/Perla/Mate</t>
  </si>
  <si>
    <t>CastMetalizado</t>
  </si>
  <si>
    <t>Cast Met</t>
  </si>
  <si>
    <t>FoilAluminio</t>
  </si>
  <si>
    <t>Foil Al</t>
  </si>
  <si>
    <t>U$S 3.60</t>
  </si>
  <si>
    <t>Mas de 5 Tn</t>
  </si>
  <si>
    <t>PapelSeda</t>
  </si>
  <si>
    <t>Papel SD</t>
  </si>
  <si>
    <t>U$S 4.40</t>
  </si>
  <si>
    <t>Bopp Bco 20 mic</t>
  </si>
  <si>
    <t>U$S 4.75</t>
  </si>
  <si>
    <t>El material demora 60 dias</t>
  </si>
  <si>
    <t>IMPRESIÓN</t>
  </si>
  <si>
    <t>SI</t>
  </si>
  <si>
    <t>NO</t>
  </si>
  <si>
    <t>TINTA PET / BOPP</t>
  </si>
  <si>
    <t>PRECIO TINTAS</t>
  </si>
  <si>
    <t>FLINT</t>
  </si>
  <si>
    <t>GAMA EXPANDIDA</t>
  </si>
  <si>
    <t>COLORES</t>
  </si>
  <si>
    <t>V</t>
  </si>
  <si>
    <t>N</t>
  </si>
  <si>
    <t>G</t>
  </si>
  <si>
    <t>B</t>
  </si>
  <si>
    <t>C</t>
  </si>
  <si>
    <t>M</t>
  </si>
  <si>
    <t>Y</t>
  </si>
  <si>
    <t>K</t>
  </si>
  <si>
    <t>TOTAL</t>
  </si>
  <si>
    <t>Cono</t>
  </si>
  <si>
    <t>PRECIO</t>
  </si>
  <si>
    <t>%</t>
  </si>
  <si>
    <t>COSTO</t>
  </si>
  <si>
    <t>BARNIZ</t>
  </si>
  <si>
    <t>DY ALARGUE</t>
  </si>
  <si>
    <t>COSTO TINTAS</t>
  </si>
  <si>
    <t>DY LIMPIEZA</t>
  </si>
  <si>
    <t>DY RECUP</t>
  </si>
  <si>
    <t>PET</t>
  </si>
  <si>
    <t>MARDI</t>
  </si>
  <si>
    <t>PROCESO</t>
  </si>
  <si>
    <t>LAMINACIÓN</t>
  </si>
  <si>
    <t>BI</t>
  </si>
  <si>
    <t>SOLVENTE LESS</t>
  </si>
  <si>
    <t>Compuesto</t>
  </si>
  <si>
    <t>Catalizador</t>
  </si>
  <si>
    <t>SOLVENTE</t>
  </si>
  <si>
    <t>VARIOS</t>
  </si>
  <si>
    <t>Zipper</t>
  </si>
  <si>
    <t>Caja</t>
  </si>
  <si>
    <t>Pico</t>
  </si>
  <si>
    <t>CONFECCION</t>
  </si>
  <si>
    <t>Pouche</t>
  </si>
  <si>
    <t>Doypack</t>
  </si>
  <si>
    <t>Pouch c/Zipper</t>
  </si>
  <si>
    <t>Doypack c/Zipper</t>
  </si>
  <si>
    <t>4Costuras</t>
  </si>
  <si>
    <t>Ancho envases</t>
  </si>
  <si>
    <t>Golpes por min.</t>
  </si>
  <si>
    <t>Envases por hora</t>
  </si>
  <si>
    <t>Golpes EXTRA x min.</t>
  </si>
  <si>
    <t>mm</t>
  </si>
  <si>
    <t>FLETE</t>
  </si>
  <si>
    <t>Capacidad en Kg</t>
  </si>
  <si>
    <t>2 pallets</t>
  </si>
  <si>
    <t>6 pallets</t>
  </si>
  <si>
    <t>10 pallets</t>
  </si>
  <si>
    <t>Zona</t>
  </si>
  <si>
    <t>Vendedor</t>
  </si>
  <si>
    <t>Cliente</t>
  </si>
  <si>
    <t>AK</t>
  </si>
  <si>
    <t>A</t>
  </si>
  <si>
    <t>PM</t>
  </si>
  <si>
    <t>4P</t>
  </si>
  <si>
    <t>Ajuste Cambiario</t>
  </si>
  <si>
    <t>Margen</t>
  </si>
  <si>
    <t>Kg</t>
  </si>
  <si>
    <t>Pe</t>
  </si>
  <si>
    <t>Bopp 20+20</t>
  </si>
  <si>
    <t>Bopp+Pe</t>
  </si>
  <si>
    <t>Pet+Pe</t>
  </si>
  <si>
    <t>Papel Seda</t>
  </si>
  <si>
    <t>Trilaminado</t>
  </si>
  <si>
    <t>Dcto x volumen</t>
  </si>
  <si>
    <t>Dpk&lt;18 cm</t>
  </si>
  <si>
    <t>Pouche &lt;18 cm</t>
  </si>
  <si>
    <t>Dpk</t>
  </si>
  <si>
    <t>ç</t>
  </si>
  <si>
    <t>4PACK</t>
  </si>
  <si>
    <t>Ajuste</t>
  </si>
  <si>
    <t>BOBINA</t>
  </si>
  <si>
    <t>Bobina / Flow</t>
  </si>
  <si>
    <t>Nro. de Cotizacion:</t>
  </si>
  <si>
    <t>001908</t>
  </si>
  <si>
    <t>/ 2025</t>
  </si>
  <si>
    <t>Ancho</t>
  </si>
  <si>
    <t>cm</t>
  </si>
  <si>
    <t>Modulos  Ancho</t>
  </si>
  <si>
    <t>Paso</t>
  </si>
  <si>
    <t>Modulos  Desarrollo</t>
  </si>
  <si>
    <t>mic</t>
  </si>
  <si>
    <t>Desarrollo</t>
  </si>
  <si>
    <t>Cantidad</t>
  </si>
  <si>
    <t>mts</t>
  </si>
  <si>
    <t>Peso Neto</t>
  </si>
  <si>
    <t>Mangas Disponibles</t>
  </si>
  <si>
    <t>Peso</t>
  </si>
  <si>
    <t>Kgrs</t>
  </si>
  <si>
    <t>x Bobina</t>
  </si>
  <si>
    <t>kg</t>
  </si>
  <si>
    <t>Diseños</t>
  </si>
  <si>
    <t>Blanco %</t>
  </si>
  <si>
    <t>RePRINT</t>
  </si>
  <si>
    <t>LAM SIN SOLVENTE</t>
  </si>
  <si>
    <t>CON SOLVENTE</t>
  </si>
  <si>
    <t>Cambios</t>
  </si>
  <si>
    <t>Ancho Refilado</t>
  </si>
  <si>
    <t>Impresión Scrap</t>
  </si>
  <si>
    <t>U$S</t>
  </si>
  <si>
    <t>Colores</t>
  </si>
  <si>
    <t>Ancho Lamina</t>
  </si>
  <si>
    <t>Laminación Scrap</t>
  </si>
  <si>
    <t>% Impreso</t>
  </si>
  <si>
    <t>Bilaminación Scrap</t>
  </si>
  <si>
    <t>Flete</t>
  </si>
  <si>
    <t>Caba</t>
  </si>
  <si>
    <t>Valor por Kgrs al contado</t>
  </si>
  <si>
    <t xml:space="preserve">U$S </t>
  </si>
  <si>
    <t>Valor por Kgrs a</t>
  </si>
  <si>
    <t>días FF</t>
  </si>
  <si>
    <t>Detalle</t>
  </si>
  <si>
    <t>Mic</t>
  </si>
  <si>
    <t>Valor x Kgrs (U$S)</t>
  </si>
  <si>
    <t>Mtrs a trabajar</t>
  </si>
  <si>
    <t>Kgrs a trabajar</t>
  </si>
  <si>
    <t>Kgrs x 1000 Mts</t>
  </si>
  <si>
    <t>Valor x 1000 mts</t>
  </si>
  <si>
    <t>Valor Kgrs</t>
  </si>
  <si>
    <t>Incidencia</t>
  </si>
  <si>
    <t>Costo Impresora</t>
  </si>
  <si>
    <t>Prep</t>
  </si>
  <si>
    <t>Prod</t>
  </si>
  <si>
    <t>Valor Hs</t>
  </si>
  <si>
    <t>Reprint</t>
  </si>
  <si>
    <t>x Color U$S</t>
  </si>
  <si>
    <t>Tintas + Diluyentes</t>
  </si>
  <si>
    <t>Valor grs/mts2</t>
  </si>
  <si>
    <t>Limpieza Diluyentes</t>
  </si>
  <si>
    <t>Valor Lts</t>
  </si>
  <si>
    <t>Costo Laminado</t>
  </si>
  <si>
    <t>Solvent Less</t>
  </si>
  <si>
    <t>Solvent</t>
  </si>
  <si>
    <t>Refilado</t>
  </si>
  <si>
    <t>% Material Scrap</t>
  </si>
  <si>
    <t>Rentabilidad</t>
  </si>
  <si>
    <t>Financiado</t>
  </si>
  <si>
    <t>Costo Bruto</t>
  </si>
  <si>
    <t>Financiación Bancaria</t>
  </si>
  <si>
    <t>% Plus</t>
  </si>
  <si>
    <t>xKg</t>
  </si>
  <si>
    <t>% Comision</t>
  </si>
  <si>
    <t>Polímeros</t>
  </si>
  <si>
    <t xml:space="preserve"> </t>
  </si>
  <si>
    <t>Rentabilidad Bonificando Polímeros</t>
  </si>
  <si>
    <t>DOYPACK</t>
  </si>
  <si>
    <t>Alto</t>
  </si>
  <si>
    <t>Fuelle Total</t>
  </si>
  <si>
    <t>ZIPPER</t>
  </si>
  <si>
    <t>Envases</t>
  </si>
  <si>
    <t>unidades</t>
  </si>
  <si>
    <t>TROQUEL</t>
  </si>
  <si>
    <t>PICO</t>
  </si>
  <si>
    <t>Modulos en el Ancho</t>
  </si>
  <si>
    <t>Calle Interna entre Modulos</t>
  </si>
  <si>
    <t>LAMINACION SIN SOLVENTE</t>
  </si>
  <si>
    <t>Modulos Desarrollo</t>
  </si>
  <si>
    <t>Mangas Disp</t>
  </si>
  <si>
    <t>Extras</t>
  </si>
  <si>
    <t>Valor por Millar al contado</t>
  </si>
  <si>
    <t>Valor x Millar</t>
  </si>
  <si>
    <t>SobreImpresion</t>
  </si>
  <si>
    <t>Costo Bobina</t>
  </si>
  <si>
    <t>Costo Confeccionadora</t>
  </si>
  <si>
    <t>Scrap Confeccionadora</t>
  </si>
  <si>
    <t>Costo Picotera</t>
  </si>
  <si>
    <t>Picos</t>
  </si>
  <si>
    <t>Scrap Picotera</t>
  </si>
  <si>
    <t>x Caja</t>
  </si>
  <si>
    <t>Costo Envase</t>
  </si>
  <si>
    <t>Costo Produc</t>
  </si>
  <si>
    <t>Costo Financiación Bancaria</t>
  </si>
  <si>
    <t>Rentabilidad Bobina</t>
  </si>
  <si>
    <t>Rentabilidad Bonificando</t>
  </si>
  <si>
    <t>Bonificación</t>
  </si>
  <si>
    <t>Costo Polímeros</t>
  </si>
  <si>
    <t>Pouch</t>
  </si>
  <si>
    <t>4 Costuras</t>
  </si>
  <si>
    <t>0409</t>
  </si>
  <si>
    <t>/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</si>
</sst>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USD]\ #,##0.00"/>
    <numFmt numFmtId="179" formatCode="0.000"/>
    <numFmt numFmtId="180" formatCode="#,##0.000"/>
    <numFmt numFmtId="181" formatCode="&quot;$&quot;\ #,##0.00"/>
    <numFmt numFmtId="182" formatCode="0.0000"/>
  </numFmts>
  <fonts count="38">
    <font>
      <sz val="11"/>
      <color theme="1"/>
      <name val="Calibri"/>
      <charset val="134"/>
      <scheme val="minor"/>
    </font>
    <font>
      <b/>
      <sz val="20"/>
      <color theme="4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 tint="-0.149998474074526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3" tint="0.799981688894314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8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7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4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AA7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6" borderId="6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0" applyNumberFormat="0" applyFill="0" applyAlignment="0" applyProtection="0">
      <alignment vertical="center"/>
    </xf>
    <xf numFmtId="0" fontId="25" fillId="0" borderId="70" applyNumberFormat="0" applyFill="0" applyAlignment="0" applyProtection="0">
      <alignment vertical="center"/>
    </xf>
    <xf numFmtId="0" fontId="26" fillId="0" borderId="7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7" borderId="72" applyNumberFormat="0" applyAlignment="0" applyProtection="0">
      <alignment vertical="center"/>
    </xf>
    <xf numFmtId="0" fontId="28" fillId="48" borderId="73" applyNumberFormat="0" applyAlignment="0" applyProtection="0">
      <alignment vertical="center"/>
    </xf>
    <xf numFmtId="0" fontId="29" fillId="48" borderId="72" applyNumberFormat="0" applyAlignment="0" applyProtection="0">
      <alignment vertical="center"/>
    </xf>
    <xf numFmtId="0" fontId="30" fillId="49" borderId="74" applyNumberFormat="0" applyAlignment="0" applyProtection="0">
      <alignment vertical="center"/>
    </xf>
    <xf numFmtId="0" fontId="31" fillId="0" borderId="75" applyNumberFormat="0" applyFill="0" applyAlignment="0" applyProtection="0">
      <alignment vertical="center"/>
    </xf>
    <xf numFmtId="0" fontId="32" fillId="0" borderId="76" applyNumberFormat="0" applyFill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6" fillId="64" borderId="0" applyNumberFormat="0" applyBorder="0" applyAlignment="0" applyProtection="0">
      <alignment vertical="center"/>
    </xf>
    <xf numFmtId="0" fontId="36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7" fillId="70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6" fillId="73" borderId="0" applyNumberFormat="0" applyBorder="0" applyAlignment="0" applyProtection="0">
      <alignment vertical="center"/>
    </xf>
    <xf numFmtId="0" fontId="37" fillId="74" borderId="0" applyNumberFormat="0" applyBorder="0" applyAlignment="0" applyProtection="0">
      <alignment vertical="center"/>
    </xf>
    <xf numFmtId="0" fontId="37" fillId="75" borderId="0" applyNumberFormat="0" applyBorder="0" applyAlignment="0" applyProtection="0">
      <alignment vertical="center"/>
    </xf>
    <xf numFmtId="0" fontId="36" fillId="76" borderId="0" applyNumberFormat="0" applyBorder="0" applyAlignment="0" applyProtection="0">
      <alignment vertical="center"/>
    </xf>
  </cellStyleXfs>
  <cellXfs count="5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" fontId="3" fillId="4" borderId="4" xfId="3" applyNumberFormat="1" applyFont="1" applyFill="1" applyBorder="1" applyAlignment="1">
      <alignment horizontal="center" vertical="center"/>
    </xf>
    <xf numFmtId="0" fontId="4" fillId="3" borderId="2" xfId="0" applyFont="1" applyFill="1" applyBorder="1"/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2" fontId="3" fillId="5" borderId="9" xfId="0" applyNumberFormat="1" applyFont="1" applyFill="1" applyBorder="1" applyAlignment="1">
      <alignment horizontal="right"/>
    </xf>
    <xf numFmtId="0" fontId="3" fillId="5" borderId="10" xfId="0" applyFont="1" applyFill="1" applyBorder="1" applyAlignment="1">
      <alignment horizontal="right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49" fontId="0" fillId="7" borderId="12" xfId="0" applyNumberFormat="1" applyFill="1" applyBorder="1" applyAlignment="1">
      <alignment horizontal="right"/>
    </xf>
    <xf numFmtId="0" fontId="0" fillId="7" borderId="12" xfId="0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58" fontId="0" fillId="6" borderId="11" xfId="0" applyNumberFormat="1" applyFill="1" applyBorder="1" applyAlignment="1">
      <alignment horizontal="center"/>
    </xf>
    <xf numFmtId="58" fontId="0" fillId="6" borderId="10" xfId="0" applyNumberFormat="1" applyFill="1" applyBorder="1" applyAlignment="1">
      <alignment horizontal="center"/>
    </xf>
    <xf numFmtId="2" fontId="3" fillId="4" borderId="7" xfId="3" applyNumberFormat="1" applyFont="1" applyFill="1" applyBorder="1" applyAlignment="1">
      <alignment horizontal="center" vertical="center"/>
    </xf>
    <xf numFmtId="0" fontId="0" fillId="0" borderId="13" xfId="0" applyBorder="1"/>
    <xf numFmtId="0" fontId="3" fillId="5" borderId="11" xfId="0" applyFont="1" applyFill="1" applyBorder="1" applyAlignment="1">
      <alignment horizontal="right"/>
    </xf>
    <xf numFmtId="2" fontId="0" fillId="4" borderId="11" xfId="0" applyNumberFormat="1" applyFill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0" fontId="0" fillId="8" borderId="10" xfId="0" applyFill="1" applyBorder="1" applyAlignment="1">
      <alignment horizontal="left"/>
    </xf>
    <xf numFmtId="0" fontId="3" fillId="5" borderId="14" xfId="0" applyFont="1" applyFill="1" applyBorder="1" applyAlignment="1">
      <alignment horizontal="right"/>
    </xf>
    <xf numFmtId="2" fontId="0" fillId="4" borderId="14" xfId="0" applyNumberFormat="1" applyFill="1" applyBorder="1" applyAlignment="1">
      <alignment horizontal="center"/>
    </xf>
    <xf numFmtId="0" fontId="0" fillId="8" borderId="14" xfId="0" applyFill="1" applyBorder="1" applyAlignment="1">
      <alignment horizontal="left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3" fillId="9" borderId="16" xfId="0" applyFont="1" applyFill="1" applyBorder="1" applyAlignment="1">
      <alignment horizontal="right" vertical="center"/>
    </xf>
    <xf numFmtId="0" fontId="0" fillId="4" borderId="10" xfId="0" applyFill="1" applyBorder="1" applyAlignment="1">
      <alignment horizontal="right"/>
    </xf>
    <xf numFmtId="0" fontId="0" fillId="4" borderId="14" xfId="0" applyFill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5" borderId="12" xfId="0" applyFont="1" applyFill="1" applyBorder="1" applyAlignment="1">
      <alignment horizontal="right"/>
    </xf>
    <xf numFmtId="3" fontId="0" fillId="4" borderId="17" xfId="0" applyNumberFormat="1" applyFill="1" applyBorder="1" applyAlignment="1">
      <alignment horizontal="center"/>
    </xf>
    <xf numFmtId="3" fontId="0" fillId="4" borderId="18" xfId="0" applyNumberFormat="1" applyFill="1" applyBorder="1"/>
    <xf numFmtId="0" fontId="0" fillId="2" borderId="0" xfId="0" applyFill="1"/>
    <xf numFmtId="0" fontId="3" fillId="9" borderId="19" xfId="0" applyFont="1" applyFill="1" applyBorder="1" applyAlignment="1">
      <alignment horizontal="right" vertical="center"/>
    </xf>
    <xf numFmtId="0" fontId="0" fillId="8" borderId="1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3" fontId="0" fillId="8" borderId="11" xfId="0" applyNumberFormat="1" applyFill="1" applyBorder="1" applyAlignment="1">
      <alignment horizontal="center"/>
    </xf>
    <xf numFmtId="0" fontId="3" fillId="9" borderId="20" xfId="0" applyFont="1" applyFill="1" applyBorder="1" applyAlignment="1">
      <alignment horizontal="right" vertical="center"/>
    </xf>
    <xf numFmtId="2" fontId="0" fillId="10" borderId="21" xfId="0" applyNumberFormat="1" applyFill="1" applyBorder="1" applyAlignment="1">
      <alignment horizontal="center"/>
    </xf>
    <xf numFmtId="0" fontId="0" fillId="10" borderId="22" xfId="0" applyFill="1" applyBorder="1" applyAlignment="1">
      <alignment horizontal="left"/>
    </xf>
    <xf numFmtId="0" fontId="0" fillId="4" borderId="10" xfId="0" applyFill="1" applyBorder="1" applyAlignment="1">
      <alignment horizontal="center"/>
    </xf>
    <xf numFmtId="0" fontId="0" fillId="2" borderId="13" xfId="0" applyFill="1" applyBorder="1"/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2" fontId="3" fillId="4" borderId="2" xfId="3" applyNumberFormat="1" applyFont="1" applyFill="1" applyBorder="1" applyAlignment="1">
      <alignment horizontal="center" vertical="center"/>
    </xf>
    <xf numFmtId="1" fontId="0" fillId="8" borderId="11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2" fontId="0" fillId="8" borderId="11" xfId="0" applyNumberForma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/>
    </xf>
    <xf numFmtId="0" fontId="3" fillId="5" borderId="18" xfId="0" applyFont="1" applyFill="1" applyBorder="1" applyAlignment="1">
      <alignment horizontal="right"/>
    </xf>
    <xf numFmtId="0" fontId="0" fillId="8" borderId="24" xfId="0" applyFill="1" applyBorder="1" applyAlignment="1">
      <alignment horizontal="center"/>
    </xf>
    <xf numFmtId="0" fontId="0" fillId="8" borderId="18" xfId="0" applyFill="1" applyBorder="1" applyAlignment="1">
      <alignment horizontal="left"/>
    </xf>
    <xf numFmtId="0" fontId="3" fillId="5" borderId="25" xfId="0" applyFont="1" applyFill="1" applyBorder="1" applyAlignment="1">
      <alignment horizontal="right"/>
    </xf>
    <xf numFmtId="0" fontId="3" fillId="5" borderId="26" xfId="0" applyFont="1" applyFill="1" applyBorder="1" applyAlignment="1">
      <alignment horizontal="right"/>
    </xf>
    <xf numFmtId="0" fontId="0" fillId="4" borderId="2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11" borderId="27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/>
    </xf>
    <xf numFmtId="0" fontId="3" fillId="5" borderId="30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right"/>
    </xf>
    <xf numFmtId="0" fontId="0" fillId="4" borderId="26" xfId="0" applyFill="1" applyBorder="1" applyAlignment="1">
      <alignment horizontal="center"/>
    </xf>
    <xf numFmtId="0" fontId="3" fillId="5" borderId="14" xfId="0" applyFont="1" applyFill="1" applyBorder="1"/>
    <xf numFmtId="0" fontId="0" fillId="4" borderId="23" xfId="0" applyFill="1" applyBorder="1" applyAlignment="1">
      <alignment horizontal="center"/>
    </xf>
    <xf numFmtId="0" fontId="0" fillId="11" borderId="13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31" xfId="0" applyFill="1" applyBorder="1" applyAlignment="1">
      <alignment horizontal="center" vertical="center" wrapText="1"/>
    </xf>
    <xf numFmtId="0" fontId="6" fillId="12" borderId="32" xfId="0" applyFont="1" applyFill="1" applyBorder="1" applyAlignment="1">
      <alignment horizontal="center" vertical="center" wrapText="1"/>
    </xf>
    <xf numFmtId="2" fontId="3" fillId="10" borderId="33" xfId="0" applyNumberFormat="1" applyFont="1" applyFill="1" applyBorder="1" applyAlignment="1">
      <alignment horizontal="right"/>
    </xf>
    <xf numFmtId="4" fontId="3" fillId="10" borderId="34" xfId="0" applyNumberFormat="1" applyFont="1" applyFill="1" applyBorder="1" applyAlignment="1">
      <alignment horizontal="center"/>
    </xf>
    <xf numFmtId="4" fontId="3" fillId="10" borderId="35" xfId="0" applyNumberFormat="1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6" fillId="4" borderId="34" xfId="0" applyFont="1" applyFill="1" applyBorder="1" applyAlignment="1">
      <alignment horizontal="center" vertical="center" wrapText="1"/>
    </xf>
    <xf numFmtId="0" fontId="6" fillId="12" borderId="35" xfId="0" applyFont="1" applyFill="1" applyBorder="1" applyAlignment="1">
      <alignment horizontal="center" vertical="center" wrapText="1"/>
    </xf>
    <xf numFmtId="10" fontId="6" fillId="13" borderId="33" xfId="0" applyNumberFormat="1" applyFont="1" applyFill="1" applyBorder="1" applyAlignment="1">
      <alignment horizontal="center" vertical="center" wrapText="1"/>
    </xf>
    <xf numFmtId="0" fontId="6" fillId="13" borderId="35" xfId="0" applyFont="1" applyFill="1" applyBorder="1" applyAlignment="1">
      <alignment horizontal="center" vertical="center" wrapText="1"/>
    </xf>
    <xf numFmtId="4" fontId="3" fillId="13" borderId="34" xfId="0" applyNumberFormat="1" applyFont="1" applyFill="1" applyBorder="1" applyAlignment="1">
      <alignment horizontal="center"/>
    </xf>
    <xf numFmtId="4" fontId="3" fillId="13" borderId="35" xfId="0" applyNumberFormat="1" applyFont="1" applyFill="1" applyBorder="1" applyAlignment="1">
      <alignment horizontal="center"/>
    </xf>
    <xf numFmtId="2" fontId="0" fillId="2" borderId="36" xfId="0" applyNumberFormat="1" applyFill="1" applyBorder="1" applyAlignment="1">
      <alignment horizontal="center"/>
    </xf>
    <xf numFmtId="2" fontId="0" fillId="2" borderId="37" xfId="0" applyNumberFormat="1" applyFill="1" applyBorder="1" applyAlignment="1">
      <alignment horizontal="left"/>
    </xf>
    <xf numFmtId="0" fontId="3" fillId="0" borderId="33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0" fillId="5" borderId="34" xfId="0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4" borderId="41" xfId="0" applyFill="1" applyBorder="1" applyAlignment="1">
      <alignment horizontal="center"/>
    </xf>
    <xf numFmtId="0" fontId="0" fillId="8" borderId="42" xfId="0" applyFill="1" applyBorder="1" applyAlignment="1">
      <alignment horizontal="left"/>
    </xf>
    <xf numFmtId="0" fontId="0" fillId="8" borderId="21" xfId="0" applyFill="1" applyBorder="1" applyAlignment="1">
      <alignment horizontal="center"/>
    </xf>
    <xf numFmtId="2" fontId="0" fillId="10" borderId="43" xfId="0" applyNumberFormat="1" applyFill="1" applyBorder="1" applyAlignment="1">
      <alignment horizontal="center"/>
    </xf>
    <xf numFmtId="2" fontId="0" fillId="10" borderId="32" xfId="0" applyNumberFormat="1" applyFill="1" applyBorder="1" applyAlignment="1">
      <alignment horizontal="center"/>
    </xf>
    <xf numFmtId="1" fontId="0" fillId="8" borderId="42" xfId="0" applyNumberFormat="1" applyFill="1" applyBorder="1" applyAlignment="1">
      <alignment horizontal="center"/>
    </xf>
    <xf numFmtId="2" fontId="0" fillId="2" borderId="22" xfId="0" applyNumberFormat="1" applyFill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2" borderId="6" xfId="0" applyNumberFormat="1" applyFill="1" applyBorder="1" applyAlignment="1">
      <alignment horizontal="right"/>
    </xf>
    <xf numFmtId="4" fontId="0" fillId="2" borderId="44" xfId="0" applyNumberFormat="1" applyFill="1" applyBorder="1"/>
    <xf numFmtId="178" fontId="0" fillId="2" borderId="21" xfId="0" applyNumberFormat="1" applyFill="1" applyBorder="1" applyAlignment="1">
      <alignment horizontal="right" vertical="center"/>
    </xf>
    <xf numFmtId="4" fontId="3" fillId="2" borderId="22" xfId="0" applyNumberFormat="1" applyFont="1" applyFill="1" applyBorder="1" applyAlignment="1">
      <alignment horizontal="right" vertical="center"/>
    </xf>
    <xf numFmtId="4" fontId="3" fillId="2" borderId="22" xfId="0" applyNumberFormat="1" applyFont="1" applyFill="1" applyBorder="1" applyAlignment="1">
      <alignment horizontal="center" vertical="center"/>
    </xf>
    <xf numFmtId="2" fontId="0" fillId="2" borderId="11" xfId="0" applyNumberFormat="1" applyFill="1" applyBorder="1"/>
    <xf numFmtId="2" fontId="0" fillId="2" borderId="23" xfId="0" applyNumberFormat="1" applyFill="1" applyBorder="1"/>
    <xf numFmtId="0" fontId="0" fillId="8" borderId="11" xfId="0" applyFill="1" applyBorder="1" applyAlignment="1">
      <alignment horizontal="left"/>
    </xf>
    <xf numFmtId="0" fontId="0" fillId="8" borderId="12" xfId="0" applyFill="1" applyBorder="1" applyAlignment="1">
      <alignment horizontal="left"/>
    </xf>
    <xf numFmtId="1" fontId="0" fillId="8" borderId="14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right"/>
    </xf>
    <xf numFmtId="4" fontId="0" fillId="2" borderId="10" xfId="0" applyNumberFormat="1" applyFill="1" applyBorder="1"/>
    <xf numFmtId="0" fontId="0" fillId="8" borderId="41" xfId="0" applyFill="1" applyBorder="1" applyAlignment="1">
      <alignment horizontal="center"/>
    </xf>
    <xf numFmtId="0" fontId="0" fillId="7" borderId="17" xfId="0" applyFill="1" applyBorder="1" applyAlignment="1">
      <alignment horizontal="left"/>
    </xf>
    <xf numFmtId="0" fontId="0" fillId="7" borderId="45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12" borderId="14" xfId="0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/>
    </xf>
    <xf numFmtId="2" fontId="0" fillId="2" borderId="12" xfId="0" applyNumberFormat="1" applyFill="1" applyBorder="1" applyAlignment="1">
      <alignment horizontal="right"/>
    </xf>
    <xf numFmtId="4" fontId="0" fillId="2" borderId="22" xfId="0" applyNumberFormat="1" applyFill="1" applyBorder="1"/>
    <xf numFmtId="178" fontId="0" fillId="2" borderId="11" xfId="0" applyNumberFormat="1" applyFill="1" applyBorder="1" applyAlignment="1">
      <alignment horizontal="right" vertical="center"/>
    </xf>
    <xf numFmtId="4" fontId="3" fillId="2" borderId="12" xfId="0" applyNumberFormat="1" applyFont="1" applyFill="1" applyBorder="1" applyAlignment="1">
      <alignment horizontal="right" vertical="center"/>
    </xf>
    <xf numFmtId="4" fontId="3" fillId="2" borderId="12" xfId="0" applyNumberFormat="1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2" fontId="0" fillId="8" borderId="42" xfId="0" applyNumberFormat="1" applyFill="1" applyBorder="1" applyAlignment="1">
      <alignment horizontal="center"/>
    </xf>
    <xf numFmtId="0" fontId="0" fillId="8" borderId="21" xfId="0" applyFill="1" applyBorder="1" applyAlignment="1">
      <alignment horizontal="right"/>
    </xf>
    <xf numFmtId="2" fontId="0" fillId="8" borderId="22" xfId="0" applyNumberFormat="1" applyFill="1" applyBorder="1" applyAlignment="1">
      <alignment horizontal="left"/>
    </xf>
    <xf numFmtId="0" fontId="0" fillId="0" borderId="46" xfId="0" applyBorder="1" applyAlignment="1">
      <alignment horizontal="center"/>
    </xf>
    <xf numFmtId="0" fontId="0" fillId="7" borderId="47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48" xfId="0" applyFill="1" applyBorder="1" applyAlignment="1">
      <alignment horizontal="left"/>
    </xf>
    <xf numFmtId="179" fontId="0" fillId="8" borderId="14" xfId="0" applyNumberFormat="1" applyFill="1" applyBorder="1"/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4" fontId="3" fillId="0" borderId="22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180" fontId="0" fillId="2" borderId="10" xfId="0" applyNumberFormat="1" applyFill="1" applyBorder="1"/>
    <xf numFmtId="0" fontId="0" fillId="8" borderId="17" xfId="0" applyFill="1" applyBorder="1" applyAlignment="1">
      <alignment horizontal="left"/>
    </xf>
    <xf numFmtId="0" fontId="0" fillId="8" borderId="45" xfId="0" applyFill="1" applyBorder="1" applyAlignment="1">
      <alignment horizontal="left"/>
    </xf>
    <xf numFmtId="2" fontId="0" fillId="8" borderId="14" xfId="0" applyNumberFormat="1" applyFill="1" applyBorder="1" applyAlignment="1">
      <alignment horizontal="center"/>
    </xf>
    <xf numFmtId="0" fontId="0" fillId="8" borderId="11" xfId="0" applyFill="1" applyBorder="1" applyAlignment="1">
      <alignment horizontal="right"/>
    </xf>
    <xf numFmtId="2" fontId="0" fillId="8" borderId="10" xfId="0" applyNumberFormat="1" applyFill="1" applyBorder="1" applyAlignment="1">
      <alignment horizontal="left"/>
    </xf>
    <xf numFmtId="0" fontId="0" fillId="8" borderId="47" xfId="0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8" borderId="48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9" borderId="17" xfId="0" applyFill="1" applyBorder="1" applyAlignment="1">
      <alignment horizontal="left"/>
    </xf>
    <xf numFmtId="0" fontId="0" fillId="9" borderId="45" xfId="0" applyFill="1" applyBorder="1" applyAlignment="1">
      <alignment horizontal="left"/>
    </xf>
    <xf numFmtId="0" fontId="0" fillId="9" borderId="18" xfId="0" applyFill="1" applyBorder="1" applyAlignment="1">
      <alignment horizontal="left"/>
    </xf>
    <xf numFmtId="0" fontId="0" fillId="0" borderId="0" xfId="0" applyAlignment="1">
      <alignment horizontal="center"/>
    </xf>
    <xf numFmtId="9" fontId="0" fillId="8" borderId="41" xfId="0" applyNumberFormat="1" applyFill="1" applyBorder="1" applyAlignment="1">
      <alignment horizontal="center"/>
    </xf>
    <xf numFmtId="0" fontId="0" fillId="9" borderId="21" xfId="0" applyFill="1" applyBorder="1" applyAlignment="1">
      <alignment horizontal="left"/>
    </xf>
    <xf numFmtId="0" fontId="0" fillId="9" borderId="46" xfId="0" applyFill="1" applyBorder="1" applyAlignment="1">
      <alignment horizontal="left"/>
    </xf>
    <xf numFmtId="0" fontId="0" fillId="9" borderId="22" xfId="0" applyFill="1" applyBorder="1" applyAlignment="1">
      <alignment horizontal="left"/>
    </xf>
    <xf numFmtId="4" fontId="3" fillId="2" borderId="10" xfId="0" applyNumberFormat="1" applyFont="1" applyFill="1" applyBorder="1" applyAlignment="1">
      <alignment horizontal="right" vertical="center"/>
    </xf>
    <xf numFmtId="0" fontId="3" fillId="8" borderId="17" xfId="0" applyFont="1" applyFill="1" applyBorder="1" applyAlignment="1">
      <alignment horizontal="left"/>
    </xf>
    <xf numFmtId="0" fontId="3" fillId="8" borderId="45" xfId="0" applyFont="1" applyFill="1" applyBorder="1" applyAlignment="1">
      <alignment horizontal="left"/>
    </xf>
    <xf numFmtId="0" fontId="3" fillId="8" borderId="18" xfId="0" applyFont="1" applyFill="1" applyBorder="1" applyAlignment="1">
      <alignment horizontal="left"/>
    </xf>
    <xf numFmtId="2" fontId="3" fillId="8" borderId="11" xfId="0" applyNumberFormat="1" applyFont="1" applyFill="1" applyBorder="1" applyAlignment="1">
      <alignment horizontal="right"/>
    </xf>
    <xf numFmtId="4" fontId="3" fillId="8" borderId="10" xfId="0" applyNumberFormat="1" applyFont="1" applyFill="1" applyBorder="1"/>
    <xf numFmtId="0" fontId="0" fillId="2" borderId="31" xfId="0" applyFill="1" applyBorder="1"/>
    <xf numFmtId="1" fontId="0" fillId="8" borderId="41" xfId="0" applyNumberForma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/>
    </xf>
    <xf numFmtId="178" fontId="7" fillId="14" borderId="21" xfId="0" applyNumberFormat="1" applyFont="1" applyFill="1" applyBorder="1" applyAlignment="1">
      <alignment horizontal="right" vertical="center"/>
    </xf>
    <xf numFmtId="4" fontId="8" fillId="14" borderId="22" xfId="0" applyNumberFormat="1" applyFont="1" applyFill="1" applyBorder="1" applyAlignment="1">
      <alignment horizontal="right" vertical="center"/>
    </xf>
    <xf numFmtId="0" fontId="0" fillId="9" borderId="48" xfId="0" applyFill="1" applyBorder="1" applyAlignment="1">
      <alignment horizontal="left"/>
    </xf>
    <xf numFmtId="0" fontId="0" fillId="8" borderId="14" xfId="0" applyFill="1" applyBorder="1"/>
    <xf numFmtId="2" fontId="3" fillId="2" borderId="10" xfId="0" applyNumberFormat="1" applyFont="1" applyFill="1" applyBorder="1" applyAlignment="1">
      <alignment horizontal="right" vertical="center"/>
    </xf>
    <xf numFmtId="9" fontId="0" fillId="0" borderId="9" xfId="3" applyFont="1" applyBorder="1" applyAlignment="1">
      <alignment horizontal="center"/>
    </xf>
    <xf numFmtId="178" fontId="3" fillId="8" borderId="11" xfId="0" applyNumberFormat="1" applyFont="1" applyFill="1" applyBorder="1" applyAlignment="1">
      <alignment horizontal="right" vertical="center"/>
    </xf>
    <xf numFmtId="9" fontId="3" fillId="12" borderId="12" xfId="3" applyFont="1" applyFill="1" applyBorder="1" applyAlignment="1">
      <alignment horizontal="right" vertical="center" wrapText="1"/>
    </xf>
    <xf numFmtId="2" fontId="0" fillId="12" borderId="23" xfId="0" applyNumberFormat="1" applyFill="1" applyBorder="1"/>
    <xf numFmtId="0" fontId="3" fillId="9" borderId="49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3" fillId="9" borderId="25" xfId="0" applyFont="1" applyFill="1" applyBorder="1" applyAlignment="1">
      <alignment horizontal="center"/>
    </xf>
    <xf numFmtId="0" fontId="3" fillId="9" borderId="26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 vertical="center" wrapText="1"/>
    </xf>
    <xf numFmtId="0" fontId="3" fillId="9" borderId="30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178" fontId="0" fillId="9" borderId="50" xfId="0" applyNumberFormat="1" applyFill="1" applyBorder="1" applyAlignment="1">
      <alignment horizontal="right" vertical="center"/>
    </xf>
    <xf numFmtId="2" fontId="3" fillId="9" borderId="25" xfId="0" applyNumberFormat="1" applyFont="1" applyFill="1" applyBorder="1" applyAlignment="1">
      <alignment horizontal="right" vertical="center"/>
    </xf>
    <xf numFmtId="2" fontId="3" fillId="9" borderId="25" xfId="0" applyNumberFormat="1" applyFont="1" applyFill="1" applyBorder="1" applyAlignment="1">
      <alignment horizontal="center" vertical="center"/>
    </xf>
    <xf numFmtId="0" fontId="3" fillId="9" borderId="50" xfId="0" applyFont="1" applyFill="1" applyBorder="1" applyAlignment="1">
      <alignment horizontal="center" vertical="center" wrapText="1"/>
    </xf>
    <xf numFmtId="0" fontId="3" fillId="9" borderId="51" xfId="0" applyFont="1" applyFill="1" applyBorder="1" applyAlignment="1">
      <alignment horizontal="center" vertical="center" wrapText="1"/>
    </xf>
    <xf numFmtId="0" fontId="7" fillId="15" borderId="20" xfId="0" applyFont="1" applyFill="1" applyBorder="1" applyAlignment="1">
      <alignment horizontal="center"/>
    </xf>
    <xf numFmtId="0" fontId="0" fillId="0" borderId="42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8" borderId="42" xfId="0" applyFill="1" applyBorder="1" applyAlignment="1">
      <alignment horizontal="center"/>
    </xf>
    <xf numFmtId="2" fontId="3" fillId="8" borderId="46" xfId="0" applyNumberFormat="1" applyFont="1" applyFill="1" applyBorder="1" applyAlignment="1">
      <alignment horizontal="center"/>
    </xf>
    <xf numFmtId="2" fontId="3" fillId="8" borderId="22" xfId="0" applyNumberFormat="1" applyFont="1" applyFill="1" applyBorder="1" applyAlignment="1">
      <alignment horizontal="center"/>
    </xf>
    <xf numFmtId="2" fontId="3" fillId="2" borderId="21" xfId="0" applyNumberFormat="1" applyFont="1" applyFill="1" applyBorder="1"/>
    <xf numFmtId="0" fontId="3" fillId="2" borderId="22" xfId="0" applyFont="1" applyFill="1" applyBorder="1" applyAlignment="1">
      <alignment horizontal="left"/>
    </xf>
    <xf numFmtId="4" fontId="3" fillId="12" borderId="42" xfId="0" applyNumberFormat="1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 wrapText="1"/>
    </xf>
    <xf numFmtId="0" fontId="3" fillId="8" borderId="4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178" fontId="0" fillId="8" borderId="21" xfId="0" applyNumberFormat="1" applyFill="1" applyBorder="1" applyAlignment="1">
      <alignment horizontal="right" vertical="center"/>
    </xf>
    <xf numFmtId="4" fontId="3" fillId="8" borderId="22" xfId="0" applyNumberFormat="1" applyFont="1" applyFill="1" applyBorder="1" applyAlignment="1">
      <alignment horizontal="right" vertical="center"/>
    </xf>
    <xf numFmtId="178" fontId="0" fillId="12" borderId="21" xfId="0" applyNumberFormat="1" applyFill="1" applyBorder="1" applyAlignment="1">
      <alignment horizontal="right" vertical="center"/>
    </xf>
    <xf numFmtId="4" fontId="3" fillId="12" borderId="52" xfId="0" applyNumberFormat="1" applyFont="1" applyFill="1" applyBorder="1" applyAlignment="1">
      <alignment horizontal="center" vertical="center"/>
    </xf>
    <xf numFmtId="0" fontId="0" fillId="0" borderId="14" xfId="0" applyBorder="1"/>
    <xf numFmtId="0" fontId="0" fillId="8" borderId="0" xfId="0" applyFill="1" applyAlignment="1">
      <alignment horizontal="right"/>
    </xf>
    <xf numFmtId="2" fontId="3" fillId="8" borderId="12" xfId="0" applyNumberFormat="1" applyFont="1" applyFill="1" applyBorder="1" applyAlignment="1">
      <alignment horizontal="center"/>
    </xf>
    <xf numFmtId="2" fontId="3" fillId="8" borderId="10" xfId="0" applyNumberFormat="1" applyFont="1" applyFill="1" applyBorder="1" applyAlignment="1">
      <alignment horizontal="center"/>
    </xf>
    <xf numFmtId="2" fontId="3" fillId="2" borderId="11" xfId="0" applyNumberFormat="1" applyFont="1" applyFill="1" applyBorder="1"/>
    <xf numFmtId="0" fontId="3" fillId="2" borderId="10" xfId="0" applyFont="1" applyFill="1" applyBorder="1" applyAlignment="1">
      <alignment horizontal="left"/>
    </xf>
    <xf numFmtId="2" fontId="3" fillId="12" borderId="14" xfId="3" applyNumberFormat="1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178" fontId="0" fillId="12" borderId="11" xfId="0" applyNumberFormat="1" applyFill="1" applyBorder="1" applyAlignment="1">
      <alignment horizontal="center" vertical="center"/>
    </xf>
    <xf numFmtId="178" fontId="0" fillId="12" borderId="23" xfId="0" applyNumberFormat="1" applyFill="1" applyBorder="1" applyAlignment="1">
      <alignment horizontal="center" vertical="center"/>
    </xf>
    <xf numFmtId="2" fontId="0" fillId="8" borderId="41" xfId="0" applyNumberFormat="1" applyFill="1" applyBorder="1" applyAlignment="1">
      <alignment horizontal="center"/>
    </xf>
    <xf numFmtId="10" fontId="0" fillId="0" borderId="11" xfId="3" applyNumberFormat="1" applyFont="1" applyBorder="1" applyAlignment="1">
      <alignment horizontal="center"/>
    </xf>
    <xf numFmtId="10" fontId="0" fillId="0" borderId="10" xfId="3" applyNumberFormat="1" applyFont="1" applyBorder="1" applyAlignment="1">
      <alignment horizontal="center"/>
    </xf>
    <xf numFmtId="2" fontId="0" fillId="8" borderId="12" xfId="0" applyNumberFormat="1" applyFill="1" applyBorder="1" applyAlignment="1">
      <alignment horizontal="center"/>
    </xf>
    <xf numFmtId="2" fontId="0" fillId="8" borderId="10" xfId="0" applyNumberFormat="1" applyFill="1" applyBorder="1" applyAlignment="1">
      <alignment horizontal="center"/>
    </xf>
    <xf numFmtId="0" fontId="0" fillId="12" borderId="0" xfId="0" applyFill="1" applyAlignment="1">
      <alignment horizontal="center"/>
    </xf>
    <xf numFmtId="2" fontId="0" fillId="8" borderId="11" xfId="0" applyNumberFormat="1" applyFill="1" applyBorder="1" applyAlignment="1">
      <alignment horizontal="right"/>
    </xf>
    <xf numFmtId="4" fontId="0" fillId="8" borderId="10" xfId="0" applyNumberFormat="1" applyFill="1" applyBorder="1"/>
    <xf numFmtId="9" fontId="0" fillId="16" borderId="41" xfId="3" applyFont="1" applyFill="1" applyBorder="1" applyAlignment="1">
      <alignment horizontal="center"/>
    </xf>
    <xf numFmtId="9" fontId="0" fillId="16" borderId="14" xfId="3" applyFont="1" applyFill="1" applyBorder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8" borderId="48" xfId="0" applyNumberFormat="1" applyFill="1" applyBorder="1" applyAlignment="1">
      <alignment horizontal="center"/>
    </xf>
    <xf numFmtId="2" fontId="0" fillId="12" borderId="14" xfId="3" applyNumberFormat="1" applyFont="1" applyFill="1" applyBorder="1" applyAlignment="1">
      <alignment horizontal="center"/>
    </xf>
    <xf numFmtId="178" fontId="0" fillId="2" borderId="0" xfId="0" applyNumberFormat="1" applyFill="1" applyAlignment="1">
      <alignment horizontal="right" vertical="center"/>
    </xf>
    <xf numFmtId="4" fontId="3" fillId="2" borderId="31" xfId="0" applyNumberFormat="1" applyFont="1" applyFill="1" applyBorder="1" applyAlignment="1">
      <alignment horizontal="right" vertical="center"/>
    </xf>
    <xf numFmtId="0" fontId="0" fillId="9" borderId="9" xfId="0" applyFill="1" applyBorder="1" applyAlignment="1">
      <alignment vertical="center"/>
    </xf>
    <xf numFmtId="0" fontId="0" fillId="9" borderId="12" xfId="0" applyFill="1" applyBorder="1" applyAlignment="1">
      <alignment vertical="center"/>
    </xf>
    <xf numFmtId="0" fontId="0" fillId="9" borderId="12" xfId="0" applyFill="1" applyBorder="1" applyAlignment="1">
      <alignment horizontal="center" vertical="center"/>
    </xf>
    <xf numFmtId="0" fontId="0" fillId="9" borderId="10" xfId="0" applyFill="1" applyBorder="1"/>
    <xf numFmtId="178" fontId="3" fillId="11" borderId="33" xfId="0" applyNumberFormat="1" applyFont="1" applyFill="1" applyBorder="1" applyAlignment="1">
      <alignment horizontal="right" vertical="center" wrapText="1"/>
    </xf>
    <xf numFmtId="2" fontId="3" fillId="11" borderId="35" xfId="0" applyNumberFormat="1" applyFont="1" applyFill="1" applyBorder="1" applyAlignment="1">
      <alignment horizontal="right" vertical="center" wrapText="1"/>
    </xf>
    <xf numFmtId="2" fontId="0" fillId="10" borderId="33" xfId="0" applyNumberFormat="1" applyFill="1" applyBorder="1" applyAlignment="1">
      <alignment horizontal="right" vertical="center"/>
    </xf>
    <xf numFmtId="4" fontId="0" fillId="10" borderId="35" xfId="0" applyNumberFormat="1" applyFill="1" applyBorder="1" applyAlignment="1">
      <alignment horizontal="center" vertical="center"/>
    </xf>
    <xf numFmtId="9" fontId="0" fillId="0" borderId="0" xfId="3" applyFont="1" applyBorder="1"/>
    <xf numFmtId="4" fontId="0" fillId="0" borderId="31" xfId="0" applyNumberFormat="1" applyBorder="1"/>
    <xf numFmtId="0" fontId="0" fillId="2" borderId="1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11" borderId="33" xfId="0" applyNumberFormat="1" applyFill="1" applyBorder="1" applyAlignment="1">
      <alignment horizontal="right" vertical="center"/>
    </xf>
    <xf numFmtId="4" fontId="0" fillId="11" borderId="35" xfId="0" applyNumberFormat="1" applyFill="1" applyBorder="1" applyAlignment="1">
      <alignment horizontal="right" vertical="center"/>
    </xf>
    <xf numFmtId="2" fontId="0" fillId="0" borderId="31" xfId="0" applyNumberFormat="1" applyBorder="1"/>
    <xf numFmtId="0" fontId="6" fillId="8" borderId="33" xfId="0" applyFont="1" applyFill="1" applyBorder="1" applyAlignment="1">
      <alignment horizontal="center" vertical="center" wrapText="1"/>
    </xf>
    <xf numFmtId="0" fontId="6" fillId="8" borderId="32" xfId="0" applyFont="1" applyFill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 wrapText="1"/>
    </xf>
    <xf numFmtId="4" fontId="3" fillId="0" borderId="31" xfId="0" applyNumberFormat="1" applyFont="1" applyBorder="1"/>
    <xf numFmtId="0" fontId="6" fillId="8" borderId="36" xfId="0" applyFont="1" applyFill="1" applyBorder="1" applyAlignment="1">
      <alignment horizontal="center" vertical="center" wrapText="1"/>
    </xf>
    <xf numFmtId="0" fontId="6" fillId="8" borderId="37" xfId="0" applyFont="1" applyFill="1" applyBorder="1" applyAlignment="1">
      <alignment horizontal="center" vertical="center" wrapText="1"/>
    </xf>
    <xf numFmtId="2" fontId="0" fillId="11" borderId="32" xfId="0" applyNumberFormat="1" applyFill="1" applyBorder="1" applyAlignment="1">
      <alignment horizontal="right" vertical="center"/>
    </xf>
    <xf numFmtId="0" fontId="0" fillId="2" borderId="53" xfId="0" applyFill="1" applyBorder="1" applyAlignment="1">
      <alignment horizontal="center" vertical="center"/>
    </xf>
    <xf numFmtId="0" fontId="0" fillId="2" borderId="36" xfId="0" applyFill="1" applyBorder="1"/>
    <xf numFmtId="0" fontId="0" fillId="2" borderId="36" xfId="0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6" fillId="8" borderId="34" xfId="0" applyFont="1" applyFill="1" applyBorder="1" applyAlignment="1">
      <alignment horizontal="center" vertical="center" wrapText="1"/>
    </xf>
    <xf numFmtId="10" fontId="6" fillId="8" borderId="53" xfId="0" applyNumberFormat="1" applyFont="1" applyFill="1" applyBorder="1" applyAlignment="1">
      <alignment horizontal="center" vertical="center" wrapText="1"/>
    </xf>
    <xf numFmtId="178" fontId="3" fillId="12" borderId="32" xfId="0" applyNumberFormat="1" applyFont="1" applyFill="1" applyBorder="1" applyAlignment="1">
      <alignment horizontal="right" vertical="center" wrapText="1"/>
    </xf>
    <xf numFmtId="2" fontId="3" fillId="12" borderId="35" xfId="0" applyNumberFormat="1" applyFont="1" applyFill="1" applyBorder="1" applyAlignment="1">
      <alignment horizontal="right" vertical="center" wrapText="1"/>
    </xf>
    <xf numFmtId="2" fontId="0" fillId="13" borderId="33" xfId="0" applyNumberFormat="1" applyFill="1" applyBorder="1" applyAlignment="1">
      <alignment horizontal="right" vertical="center"/>
    </xf>
    <xf numFmtId="4" fontId="0" fillId="13" borderId="35" xfId="0" applyNumberFormat="1" applyFill="1" applyBorder="1" applyAlignment="1">
      <alignment horizontal="center" vertical="center"/>
    </xf>
    <xf numFmtId="0" fontId="0" fillId="2" borderId="37" xfId="0" applyFill="1" applyBorder="1"/>
    <xf numFmtId="2" fontId="0" fillId="10" borderId="54" xfId="0" applyNumberFormat="1" applyFill="1" applyBorder="1" applyAlignment="1">
      <alignment horizontal="center"/>
    </xf>
    <xf numFmtId="2" fontId="0" fillId="0" borderId="0" xfId="0" applyNumberFormat="1"/>
    <xf numFmtId="1" fontId="3" fillId="4" borderId="4" xfId="3" applyNumberFormat="1" applyFont="1" applyFill="1" applyBorder="1" applyAlignment="1">
      <alignment horizontal="center" vertical="center"/>
    </xf>
    <xf numFmtId="58" fontId="0" fillId="6" borderId="11" xfId="0" applyNumberFormat="1" applyFill="1" applyBorder="1"/>
    <xf numFmtId="1" fontId="0" fillId="4" borderId="10" xfId="0" applyNumberFormat="1" applyFill="1" applyBorder="1" applyAlignment="1">
      <alignment horizontal="center"/>
    </xf>
    <xf numFmtId="0" fontId="0" fillId="8" borderId="23" xfId="0" applyFill="1" applyBorder="1" applyAlignment="1">
      <alignment horizontal="left"/>
    </xf>
    <xf numFmtId="0" fontId="9" fillId="5" borderId="11" xfId="0" applyFont="1" applyFill="1" applyBorder="1" applyAlignment="1">
      <alignment horizontal="center"/>
    </xf>
    <xf numFmtId="3" fontId="0" fillId="4" borderId="14" xfId="0" applyNumberForma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2" fontId="0" fillId="8" borderId="24" xfId="0" applyNumberFormat="1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3" fillId="5" borderId="24" xfId="0" applyFont="1" applyFill="1" applyBorder="1" applyAlignment="1">
      <alignment horizontal="right"/>
    </xf>
    <xf numFmtId="0" fontId="0" fillId="4" borderId="18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2" fontId="0" fillId="8" borderId="18" xfId="0" applyNumberFormat="1" applyFill="1" applyBorder="1" applyAlignment="1">
      <alignment horizontal="center"/>
    </xf>
    <xf numFmtId="2" fontId="3" fillId="10" borderId="53" xfId="0" applyNumberFormat="1" applyFont="1" applyFill="1" applyBorder="1" applyAlignment="1">
      <alignment horizontal="right"/>
    </xf>
    <xf numFmtId="4" fontId="3" fillId="10" borderId="56" xfId="0" applyNumberFormat="1" applyFont="1" applyFill="1" applyBorder="1" applyAlignment="1">
      <alignment horizontal="center"/>
    </xf>
    <xf numFmtId="4" fontId="3" fillId="10" borderId="37" xfId="0" applyNumberFormat="1" applyFont="1" applyFill="1" applyBorder="1" applyAlignment="1">
      <alignment horizontal="center"/>
    </xf>
    <xf numFmtId="1" fontId="0" fillId="2" borderId="31" xfId="0" applyNumberFormat="1" applyFill="1" applyBorder="1"/>
    <xf numFmtId="0" fontId="0" fillId="11" borderId="53" xfId="0" applyFill="1" applyBorder="1" applyAlignment="1">
      <alignment horizontal="center" vertical="center" wrapText="1"/>
    </xf>
    <xf numFmtId="0" fontId="0" fillId="11" borderId="36" xfId="0" applyFill="1" applyBorder="1" applyAlignment="1">
      <alignment horizontal="center" vertical="center" wrapText="1"/>
    </xf>
    <xf numFmtId="0" fontId="0" fillId="11" borderId="37" xfId="0" applyFill="1" applyBorder="1" applyAlignment="1">
      <alignment horizontal="center" vertical="center" wrapText="1"/>
    </xf>
    <xf numFmtId="10" fontId="6" fillId="8" borderId="33" xfId="0" applyNumberFormat="1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2" fontId="0" fillId="2" borderId="10" xfId="0" applyNumberFormat="1" applyFill="1" applyBorder="1"/>
    <xf numFmtId="0" fontId="0" fillId="2" borderId="47" xfId="0" applyFill="1" applyBorder="1"/>
    <xf numFmtId="2" fontId="3" fillId="2" borderId="10" xfId="0" applyNumberFormat="1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178" fontId="0" fillId="9" borderId="21" xfId="0" applyNumberFormat="1" applyFill="1" applyBorder="1" applyAlignment="1">
      <alignment horizontal="right" vertical="center"/>
    </xf>
    <xf numFmtId="2" fontId="3" fillId="9" borderId="10" xfId="0" applyNumberFormat="1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/>
    </xf>
    <xf numFmtId="4" fontId="3" fillId="2" borderId="14" xfId="0" applyNumberFormat="1" applyFont="1" applyFill="1" applyBorder="1" applyAlignment="1">
      <alignment horizontal="center" vertical="center"/>
    </xf>
    <xf numFmtId="2" fontId="0" fillId="0" borderId="14" xfId="3" applyNumberFormat="1" applyFont="1" applyFill="1" applyBorder="1" applyAlignment="1">
      <alignment horizontal="center"/>
    </xf>
    <xf numFmtId="2" fontId="0" fillId="2" borderId="0" xfId="0" applyNumberFormat="1" applyFill="1"/>
    <xf numFmtId="0" fontId="0" fillId="0" borderId="14" xfId="0" applyBorder="1" applyAlignment="1">
      <alignment horizontal="left"/>
    </xf>
    <xf numFmtId="2" fontId="0" fillId="8" borderId="14" xfId="3" applyNumberFormat="1" applyFont="1" applyFill="1" applyBorder="1" applyAlignment="1">
      <alignment horizontal="center"/>
    </xf>
    <xf numFmtId="178" fontId="0" fillId="2" borderId="31" xfId="0" applyNumberFormat="1" applyFill="1" applyBorder="1" applyAlignment="1">
      <alignment horizontal="right" vertical="center"/>
    </xf>
    <xf numFmtId="2" fontId="3" fillId="11" borderId="35" xfId="0" applyNumberFormat="1" applyFont="1" applyFill="1" applyBorder="1" applyAlignment="1">
      <alignment horizontal="center" vertical="center" wrapText="1"/>
    </xf>
    <xf numFmtId="4" fontId="0" fillId="11" borderId="35" xfId="0" applyNumberFormat="1" applyFill="1" applyBorder="1" applyAlignment="1">
      <alignment horizontal="center" vertical="center"/>
    </xf>
    <xf numFmtId="178" fontId="3" fillId="10" borderId="32" xfId="0" applyNumberFormat="1" applyFont="1" applyFill="1" applyBorder="1" applyAlignment="1">
      <alignment horizontal="right" vertical="center" wrapText="1"/>
    </xf>
    <xf numFmtId="2" fontId="3" fillId="10" borderId="35" xfId="0" applyNumberFormat="1" applyFont="1" applyFill="1" applyBorder="1" applyAlignment="1">
      <alignment horizontal="center" vertical="center" wrapText="1"/>
    </xf>
    <xf numFmtId="2" fontId="3" fillId="12" borderId="33" xfId="0" applyNumberFormat="1" applyFont="1" applyFill="1" applyBorder="1" applyAlignment="1">
      <alignment horizontal="right" vertical="center" wrapText="1"/>
    </xf>
    <xf numFmtId="2" fontId="3" fillId="12" borderId="35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78" fontId="3" fillId="8" borderId="32" xfId="0" applyNumberFormat="1" applyFont="1" applyFill="1" applyBorder="1" applyAlignment="1">
      <alignment horizontal="right" vertical="center" wrapText="1"/>
    </xf>
    <xf numFmtId="2" fontId="3" fillId="8" borderId="35" xfId="0" applyNumberFormat="1" applyFont="1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178" fontId="3" fillId="10" borderId="33" xfId="0" applyNumberFormat="1" applyFont="1" applyFill="1" applyBorder="1" applyAlignment="1">
      <alignment horizontal="right" vertical="center" wrapText="1"/>
    </xf>
    <xf numFmtId="0" fontId="11" fillId="8" borderId="0" xfId="0" applyFont="1" applyFill="1" applyAlignment="1">
      <alignment horizontal="center"/>
    </xf>
    <xf numFmtId="0" fontId="0" fillId="8" borderId="0" xfId="0" applyFill="1"/>
    <xf numFmtId="0" fontId="3" fillId="17" borderId="38" xfId="0" applyFont="1" applyFill="1" applyBorder="1" applyAlignment="1">
      <alignment horizontal="center"/>
    </xf>
    <xf numFmtId="0" fontId="3" fillId="17" borderId="40" xfId="0" applyFont="1" applyFill="1" applyBorder="1" applyAlignment="1">
      <alignment horizontal="center"/>
    </xf>
    <xf numFmtId="0" fontId="0" fillId="18" borderId="57" xfId="0" applyFill="1" applyBorder="1" applyAlignment="1">
      <alignment horizontal="left"/>
    </xf>
    <xf numFmtId="0" fontId="0" fillId="0" borderId="7" xfId="0" applyBorder="1"/>
    <xf numFmtId="9" fontId="0" fillId="0" borderId="52" xfId="0" applyNumberFormat="1" applyBorder="1"/>
    <xf numFmtId="0" fontId="0" fillId="8" borderId="41" xfId="0" applyFill="1" applyBorder="1"/>
    <xf numFmtId="0" fontId="0" fillId="0" borderId="15" xfId="0" applyBorder="1"/>
    <xf numFmtId="0" fontId="0" fillId="0" borderId="52" xfId="0" applyBorder="1"/>
    <xf numFmtId="9" fontId="0" fillId="0" borderId="52" xfId="3" applyFont="1" applyBorder="1"/>
    <xf numFmtId="0" fontId="0" fillId="19" borderId="16" xfId="0" applyFill="1" applyBorder="1"/>
    <xf numFmtId="0" fontId="0" fillId="0" borderId="58" xfId="0" applyBorder="1"/>
    <xf numFmtId="0" fontId="0" fillId="20" borderId="41" xfId="0" applyFill="1" applyBorder="1"/>
    <xf numFmtId="1" fontId="0" fillId="0" borderId="59" xfId="3" applyNumberFormat="1" applyFont="1" applyBorder="1"/>
    <xf numFmtId="9" fontId="0" fillId="0" borderId="34" xfId="3" applyFont="1" applyBorder="1"/>
    <xf numFmtId="1" fontId="0" fillId="0" borderId="34" xfId="3" applyNumberFormat="1" applyFont="1" applyBorder="1"/>
    <xf numFmtId="0" fontId="0" fillId="21" borderId="41" xfId="0" applyFill="1" applyBorder="1"/>
    <xf numFmtId="0" fontId="0" fillId="13" borderId="60" xfId="0" applyFill="1" applyBorder="1"/>
    <xf numFmtId="0" fontId="0" fillId="0" borderId="61" xfId="0" applyBorder="1"/>
    <xf numFmtId="9" fontId="0" fillId="0" borderId="61" xfId="3" applyFont="1" applyBorder="1"/>
    <xf numFmtId="1" fontId="0" fillId="0" borderId="56" xfId="3" applyNumberFormat="1" applyFont="1" applyBorder="1"/>
    <xf numFmtId="0" fontId="3" fillId="17" borderId="14" xfId="0" applyFont="1" applyFill="1" applyBorder="1" applyAlignment="1">
      <alignment horizontal="center"/>
    </xf>
    <xf numFmtId="0" fontId="3" fillId="1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17" borderId="10" xfId="0" applyFont="1" applyFill="1" applyBorder="1" applyAlignment="1">
      <alignment horizontal="center"/>
    </xf>
    <xf numFmtId="0" fontId="0" fillId="18" borderId="14" xfId="0" applyFill="1" applyBorder="1" applyAlignment="1">
      <alignment horizontal="left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181" fontId="0" fillId="0" borderId="14" xfId="0" applyNumberFormat="1" applyBorder="1" applyAlignment="1">
      <alignment horizontal="center"/>
    </xf>
    <xf numFmtId="0" fontId="12" fillId="22" borderId="14" xfId="0" applyFont="1" applyFill="1" applyBorder="1"/>
    <xf numFmtId="178" fontId="0" fillId="0" borderId="14" xfId="0" applyNumberFormat="1" applyBorder="1" applyAlignment="1">
      <alignment horizontal="center"/>
    </xf>
    <xf numFmtId="0" fontId="12" fillId="23" borderId="14" xfId="0" applyFont="1" applyFill="1" applyBorder="1" applyAlignment="1">
      <alignment horizontal="left"/>
    </xf>
    <xf numFmtId="0" fontId="0" fillId="6" borderId="14" xfId="0" applyFill="1" applyBorder="1" applyAlignment="1">
      <alignment horizontal="center"/>
    </xf>
    <xf numFmtId="0" fontId="0" fillId="6" borderId="14" xfId="0" applyFill="1" applyBorder="1"/>
    <xf numFmtId="181" fontId="0" fillId="6" borderId="14" xfId="0" applyNumberFormat="1" applyFill="1" applyBorder="1" applyAlignment="1">
      <alignment horizontal="center"/>
    </xf>
    <xf numFmtId="0" fontId="0" fillId="24" borderId="14" xfId="0" applyFill="1" applyBorder="1"/>
    <xf numFmtId="0" fontId="0" fillId="25" borderId="14" xfId="0" applyFill="1" applyBorder="1"/>
    <xf numFmtId="0" fontId="0" fillId="13" borderId="14" xfId="0" applyFill="1" applyBorder="1" applyAlignment="1">
      <alignment horizontal="center"/>
    </xf>
    <xf numFmtId="0" fontId="0" fillId="13" borderId="14" xfId="0" applyFill="1" applyBorder="1"/>
    <xf numFmtId="181" fontId="0" fillId="13" borderId="14" xfId="0" applyNumberFormat="1" applyFill="1" applyBorder="1" applyAlignment="1">
      <alignment horizontal="center"/>
    </xf>
    <xf numFmtId="0" fontId="12" fillId="26" borderId="14" xfId="0" applyFont="1" applyFill="1" applyBorder="1"/>
    <xf numFmtId="0" fontId="0" fillId="27" borderId="14" xfId="0" applyFill="1" applyBorder="1"/>
    <xf numFmtId="0" fontId="0" fillId="28" borderId="14" xfId="0" applyFill="1" applyBorder="1" applyAlignment="1">
      <alignment horizontal="left"/>
    </xf>
    <xf numFmtId="0" fontId="0" fillId="29" borderId="14" xfId="0" applyFill="1" applyBorder="1"/>
    <xf numFmtId="0" fontId="0" fillId="21" borderId="14" xfId="0" applyFill="1" applyBorder="1"/>
    <xf numFmtId="0" fontId="0" fillId="21" borderId="14" xfId="0" applyFill="1" applyBorder="1" applyAlignment="1">
      <alignment horizontal="center"/>
    </xf>
    <xf numFmtId="181" fontId="0" fillId="21" borderId="14" xfId="0" applyNumberFormat="1" applyFill="1" applyBorder="1" applyAlignment="1">
      <alignment horizontal="center"/>
    </xf>
    <xf numFmtId="0" fontId="3" fillId="0" borderId="14" xfId="0" applyFont="1" applyBorder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81" fontId="0" fillId="2" borderId="14" xfId="0" applyNumberFormat="1" applyFill="1" applyBorder="1" applyAlignment="1">
      <alignment horizontal="center"/>
    </xf>
    <xf numFmtId="0" fontId="0" fillId="30" borderId="14" xfId="0" applyFill="1" applyBorder="1"/>
    <xf numFmtId="0" fontId="0" fillId="31" borderId="14" xfId="0" applyFill="1" applyBorder="1"/>
    <xf numFmtId="0" fontId="0" fillId="16" borderId="14" xfId="0" applyFill="1" applyBorder="1"/>
    <xf numFmtId="0" fontId="12" fillId="32" borderId="14" xfId="0" applyFont="1" applyFill="1" applyBorder="1" applyAlignment="1">
      <alignment horizontal="left"/>
    </xf>
    <xf numFmtId="0" fontId="0" fillId="33" borderId="14" xfId="0" applyFill="1" applyBorder="1"/>
    <xf numFmtId="0" fontId="0" fillId="21" borderId="47" xfId="0" applyFill="1" applyBorder="1"/>
    <xf numFmtId="0" fontId="0" fillId="21" borderId="0" xfId="0" applyFill="1"/>
    <xf numFmtId="0" fontId="12" fillId="22" borderId="42" xfId="0" applyFont="1" applyFill="1" applyBorder="1"/>
    <xf numFmtId="0" fontId="12" fillId="23" borderId="42" xfId="0" applyFont="1" applyFill="1" applyBorder="1" applyAlignment="1">
      <alignment horizontal="left"/>
    </xf>
    <xf numFmtId="0" fontId="0" fillId="6" borderId="42" xfId="0" applyFill="1" applyBorder="1"/>
    <xf numFmtId="0" fontId="0" fillId="24" borderId="42" xfId="0" applyFill="1" applyBorder="1"/>
    <xf numFmtId="0" fontId="0" fillId="8" borderId="42" xfId="0" applyFill="1" applyBorder="1"/>
    <xf numFmtId="0" fontId="0" fillId="25" borderId="42" xfId="0" applyFill="1" applyBorder="1"/>
    <xf numFmtId="0" fontId="12" fillId="26" borderId="42" xfId="0" applyFont="1" applyFill="1" applyBorder="1"/>
    <xf numFmtId="0" fontId="0" fillId="27" borderId="42" xfId="0" applyFill="1" applyBorder="1"/>
    <xf numFmtId="0" fontId="0" fillId="28" borderId="42" xfId="0" applyFill="1" applyBorder="1" applyAlignment="1">
      <alignment horizontal="left"/>
    </xf>
    <xf numFmtId="0" fontId="0" fillId="29" borderId="42" xfId="0" applyFill="1" applyBorder="1"/>
    <xf numFmtId="0" fontId="3" fillId="0" borderId="42" xfId="0" applyFont="1" applyBorder="1"/>
    <xf numFmtId="0" fontId="0" fillId="30" borderId="42" xfId="0" applyFill="1" applyBorder="1"/>
    <xf numFmtId="0" fontId="12" fillId="32" borderId="42" xfId="0" applyFont="1" applyFill="1" applyBorder="1" applyAlignment="1">
      <alignment horizontal="left"/>
    </xf>
    <xf numFmtId="0" fontId="0" fillId="33" borderId="46" xfId="0" applyFill="1" applyBorder="1"/>
    <xf numFmtId="0" fontId="0" fillId="0" borderId="22" xfId="0" applyBorder="1" applyAlignment="1">
      <alignment horizontal="left"/>
    </xf>
    <xf numFmtId="0" fontId="0" fillId="7" borderId="47" xfId="0" applyFill="1" applyBorder="1"/>
    <xf numFmtId="0" fontId="0" fillId="34" borderId="0" xfId="0" applyFill="1" applyAlignment="1">
      <alignment horizontal="center"/>
    </xf>
    <xf numFmtId="0" fontId="0" fillId="34" borderId="0" xfId="0" applyFill="1"/>
    <xf numFmtId="0" fontId="0" fillId="30" borderId="0" xfId="0" applyFill="1" applyAlignment="1">
      <alignment horizontal="center"/>
    </xf>
    <xf numFmtId="0" fontId="0" fillId="30" borderId="0" xfId="0" applyFill="1"/>
    <xf numFmtId="0" fontId="3" fillId="0" borderId="46" xfId="0" applyFont="1" applyBorder="1"/>
    <xf numFmtId="0" fontId="0" fillId="35" borderId="46" xfId="0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37" borderId="46" xfId="0" applyFill="1" applyBorder="1" applyAlignment="1">
      <alignment horizontal="center"/>
    </xf>
    <xf numFmtId="0" fontId="0" fillId="8" borderId="46" xfId="0" applyFill="1" applyBorder="1" applyAlignment="1">
      <alignment horizontal="center"/>
    </xf>
    <xf numFmtId="0" fontId="0" fillId="6" borderId="46" xfId="0" applyFill="1" applyBorder="1" applyAlignment="1">
      <alignment horizontal="center"/>
    </xf>
    <xf numFmtId="0" fontId="0" fillId="38" borderId="46" xfId="0" applyFill="1" applyBorder="1" applyAlignment="1">
      <alignment horizontal="center"/>
    </xf>
    <xf numFmtId="0" fontId="0" fillId="13" borderId="46" xfId="0" applyFill="1" applyBorder="1" applyAlignment="1">
      <alignment horizontal="center"/>
    </xf>
    <xf numFmtId="0" fontId="12" fillId="22" borderId="46" xfId="0" applyFont="1" applyFill="1" applyBorder="1" applyAlignment="1">
      <alignment horizontal="center"/>
    </xf>
    <xf numFmtId="0" fontId="0" fillId="39" borderId="46" xfId="0" applyFill="1" applyBorder="1" applyAlignment="1">
      <alignment horizontal="center"/>
    </xf>
    <xf numFmtId="0" fontId="0" fillId="12" borderId="59" xfId="0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0" fillId="8" borderId="40" xfId="0" applyFill="1" applyBorder="1" applyAlignment="1">
      <alignment horizontal="center"/>
    </xf>
    <xf numFmtId="2" fontId="0" fillId="34" borderId="0" xfId="0" applyNumberFormat="1" applyFill="1"/>
    <xf numFmtId="0" fontId="0" fillId="0" borderId="62" xfId="0" applyBorder="1" applyAlignment="1">
      <alignment horizontal="center"/>
    </xf>
    <xf numFmtId="0" fontId="0" fillId="0" borderId="20" xfId="0" applyBorder="1"/>
    <xf numFmtId="182" fontId="0" fillId="0" borderId="52" xfId="0" applyNumberFormat="1" applyBorder="1"/>
    <xf numFmtId="9" fontId="0" fillId="0" borderId="0" xfId="3" applyFont="1"/>
    <xf numFmtId="0" fontId="0" fillId="0" borderId="63" xfId="0" applyBorder="1"/>
    <xf numFmtId="182" fontId="0" fillId="0" borderId="64" xfId="0" applyNumberFormat="1" applyBorder="1"/>
    <xf numFmtId="2" fontId="3" fillId="39" borderId="0" xfId="0" applyNumberFormat="1" applyFont="1" applyFill="1" applyAlignment="1">
      <alignment horizontal="right"/>
    </xf>
    <xf numFmtId="0" fontId="3" fillId="40" borderId="46" xfId="0" applyFont="1" applyFill="1" applyBorder="1" applyAlignment="1">
      <alignment horizontal="left"/>
    </xf>
    <xf numFmtId="2" fontId="0" fillId="40" borderId="46" xfId="0" applyNumberFormat="1" applyFill="1" applyBorder="1" applyAlignment="1">
      <alignment horizontal="right"/>
    </xf>
    <xf numFmtId="0" fontId="0" fillId="40" borderId="46" xfId="0" applyFill="1" applyBorder="1" applyAlignment="1">
      <alignment horizontal="center"/>
    </xf>
    <xf numFmtId="0" fontId="0" fillId="40" borderId="0" xfId="0" applyFill="1"/>
    <xf numFmtId="9" fontId="0" fillId="40" borderId="0" xfId="3" applyFont="1" applyFill="1"/>
    <xf numFmtId="2" fontId="0" fillId="40" borderId="0" xfId="0" applyNumberFormat="1" applyFill="1"/>
    <xf numFmtId="0" fontId="3" fillId="18" borderId="46" xfId="0" applyFont="1" applyFill="1" applyBorder="1" applyAlignment="1">
      <alignment horizontal="left"/>
    </xf>
    <xf numFmtId="0" fontId="0" fillId="18" borderId="46" xfId="0" applyFill="1" applyBorder="1"/>
    <xf numFmtId="2" fontId="0" fillId="18" borderId="46" xfId="0" applyNumberFormat="1" applyFill="1" applyBorder="1"/>
    <xf numFmtId="0" fontId="0" fillId="18" borderId="0" xfId="0" applyFill="1"/>
    <xf numFmtId="9" fontId="0" fillId="18" borderId="0" xfId="3" applyFont="1" applyFill="1"/>
    <xf numFmtId="2" fontId="0" fillId="18" borderId="0" xfId="0" applyNumberFormat="1" applyFill="1"/>
    <xf numFmtId="0" fontId="3" fillId="8" borderId="0" xfId="0" applyFont="1" applyFill="1"/>
    <xf numFmtId="2" fontId="0" fillId="8" borderId="0" xfId="0" applyNumberFormat="1" applyFill="1"/>
    <xf numFmtId="2" fontId="4" fillId="22" borderId="0" xfId="0" applyNumberFormat="1" applyFont="1" applyFill="1" applyAlignment="1">
      <alignment horizontal="right"/>
    </xf>
    <xf numFmtId="179" fontId="0" fillId="0" borderId="0" xfId="0" applyNumberFormat="1"/>
    <xf numFmtId="0" fontId="3" fillId="31" borderId="0" xfId="0" applyFont="1" applyFill="1" applyAlignment="1">
      <alignment horizontal="left"/>
    </xf>
    <xf numFmtId="0" fontId="0" fillId="31" borderId="0" xfId="0" applyFill="1"/>
    <xf numFmtId="0" fontId="3" fillId="31" borderId="0" xfId="0" applyFont="1" applyFill="1"/>
    <xf numFmtId="2" fontId="0" fillId="31" borderId="0" xfId="0" applyNumberFormat="1" applyFill="1"/>
    <xf numFmtId="0" fontId="0" fillId="8" borderId="0" xfId="0" applyFill="1" applyAlignment="1">
      <alignment horizontal="center"/>
    </xf>
    <xf numFmtId="0" fontId="0" fillId="0" borderId="65" xfId="0" applyBorder="1" applyAlignment="1">
      <alignment horizontal="center"/>
    </xf>
    <xf numFmtId="0" fontId="0" fillId="41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4" fillId="43" borderId="0" xfId="0" applyFont="1" applyFill="1" applyAlignment="1">
      <alignment horizontal="center"/>
    </xf>
    <xf numFmtId="0" fontId="0" fillId="0" borderId="66" xfId="0" applyBorder="1" applyAlignment="1">
      <alignment horizontal="center"/>
    </xf>
    <xf numFmtId="1" fontId="0" fillId="0" borderId="0" xfId="0" applyNumberFormat="1" applyAlignment="1">
      <alignment horizontal="center"/>
    </xf>
    <xf numFmtId="9" fontId="0" fillId="31" borderId="0" xfId="0" applyNumberFormat="1" applyFill="1"/>
    <xf numFmtId="17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44" borderId="11" xfId="0" applyFill="1" applyBorder="1" applyAlignment="1">
      <alignment horizontal="center"/>
    </xf>
    <xf numFmtId="0" fontId="0" fillId="44" borderId="10" xfId="0" applyFill="1" applyBorder="1" applyAlignment="1">
      <alignment horizontal="center"/>
    </xf>
    <xf numFmtId="0" fontId="0" fillId="44" borderId="12" xfId="0" applyFill="1" applyBorder="1" applyAlignment="1">
      <alignment horizontal="center"/>
    </xf>
    <xf numFmtId="0" fontId="0" fillId="28" borderId="11" xfId="0" applyFill="1" applyBorder="1" applyAlignment="1">
      <alignment horizontal="center"/>
    </xf>
    <xf numFmtId="0" fontId="0" fillId="28" borderId="12" xfId="0" applyFill="1" applyBorder="1" applyAlignment="1">
      <alignment horizontal="center"/>
    </xf>
    <xf numFmtId="0" fontId="0" fillId="0" borderId="17" xfId="0" applyBorder="1" applyAlignment="1">
      <alignment horizontal="center" vertical="center" wrapText="1" shrinkToFit="1"/>
    </xf>
    <xf numFmtId="0" fontId="0" fillId="0" borderId="18" xfId="0" applyBorder="1" applyAlignment="1">
      <alignment horizontal="center" vertical="center" wrapText="1" shrinkToFit="1"/>
    </xf>
    <xf numFmtId="0" fontId="0" fillId="12" borderId="24" xfId="0" applyFill="1" applyBorder="1" applyAlignment="1">
      <alignment horizontal="center" vertical="center" wrapText="1"/>
    </xf>
    <xf numFmtId="0" fontId="0" fillId="44" borderId="24" xfId="0" applyFill="1" applyBorder="1" applyAlignment="1">
      <alignment horizontal="center" vertical="center" wrapText="1"/>
    </xf>
    <xf numFmtId="0" fontId="0" fillId="44" borderId="18" xfId="0" applyFill="1" applyBorder="1" applyAlignment="1">
      <alignment horizontal="center" vertical="center" wrapText="1"/>
    </xf>
    <xf numFmtId="0" fontId="0" fillId="28" borderId="2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1" xfId="0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0" fillId="12" borderId="22" xfId="0" applyFill="1" applyBorder="1" applyAlignment="1">
      <alignment horizontal="center" vertical="center" wrapText="1"/>
    </xf>
    <xf numFmtId="0" fontId="0" fillId="12" borderId="42" xfId="0" applyFill="1" applyBorder="1" applyAlignment="1">
      <alignment horizontal="center" vertical="center" wrapText="1"/>
    </xf>
    <xf numFmtId="0" fontId="0" fillId="44" borderId="42" xfId="0" applyFill="1" applyBorder="1" applyAlignment="1">
      <alignment horizontal="center" vertical="center" wrapText="1"/>
    </xf>
    <xf numFmtId="0" fontId="0" fillId="44" borderId="22" xfId="0" applyFill="1" applyBorder="1" applyAlignment="1">
      <alignment horizontal="center" vertical="center" wrapText="1"/>
    </xf>
    <xf numFmtId="0" fontId="0" fillId="28" borderId="42" xfId="0" applyFill="1" applyBorder="1" applyAlignment="1">
      <alignment horizontal="center" vertical="center" wrapText="1"/>
    </xf>
    <xf numFmtId="0" fontId="0" fillId="45" borderId="11" xfId="0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12" borderId="14" xfId="0" applyFill="1" applyBorder="1" applyAlignment="1">
      <alignment horizontal="center"/>
    </xf>
    <xf numFmtId="0" fontId="0" fillId="44" borderId="14" xfId="0" applyFill="1" applyBorder="1" applyAlignment="1">
      <alignment horizontal="center"/>
    </xf>
    <xf numFmtId="0" fontId="0" fillId="28" borderId="14" xfId="0" applyFill="1" applyBorder="1" applyAlignment="1">
      <alignment horizontal="center"/>
    </xf>
    <xf numFmtId="0" fontId="0" fillId="30" borderId="33" xfId="0" applyFill="1" applyBorder="1" applyAlignment="1">
      <alignment horizontal="center"/>
    </xf>
    <xf numFmtId="0" fontId="0" fillId="30" borderId="32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13" fillId="0" borderId="34" xfId="0" applyFont="1" applyBorder="1"/>
    <xf numFmtId="0" fontId="14" fillId="0" borderId="35" xfId="0" applyFont="1" applyBorder="1" applyAlignment="1">
      <alignment horizontal="center"/>
    </xf>
    <xf numFmtId="0" fontId="14" fillId="0" borderId="40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0" fillId="0" borderId="5" xfId="0" applyBorder="1"/>
    <xf numFmtId="2" fontId="15" fillId="0" borderId="23" xfId="0" applyNumberFormat="1" applyFont="1" applyBorder="1"/>
    <xf numFmtId="2" fontId="15" fillId="0" borderId="62" xfId="0" applyNumberFormat="1" applyFont="1" applyBorder="1"/>
    <xf numFmtId="0" fontId="16" fillId="8" borderId="46" xfId="0" applyFont="1" applyFill="1" applyBorder="1" applyAlignment="1">
      <alignment horizontal="center"/>
    </xf>
    <xf numFmtId="0" fontId="17" fillId="0" borderId="14" xfId="0" applyFont="1" applyBorder="1"/>
    <xf numFmtId="2" fontId="15" fillId="0" borderId="14" xfId="0" applyNumberFormat="1" applyFont="1" applyBorder="1"/>
    <xf numFmtId="0" fontId="15" fillId="0" borderId="14" xfId="0" applyFont="1" applyBorder="1"/>
    <xf numFmtId="0" fontId="16" fillId="8" borderId="36" xfId="0" applyFont="1" applyFill="1" applyBorder="1" applyAlignment="1">
      <alignment horizontal="center"/>
    </xf>
    <xf numFmtId="0" fontId="3" fillId="17" borderId="43" xfId="0" applyFont="1" applyFill="1" applyBorder="1" applyAlignment="1">
      <alignment horizontal="center"/>
    </xf>
    <xf numFmtId="0" fontId="3" fillId="17" borderId="32" xfId="0" applyFont="1" applyFill="1" applyBorder="1" applyAlignment="1">
      <alignment horizontal="center"/>
    </xf>
    <xf numFmtId="0" fontId="3" fillId="17" borderId="35" xfId="0" applyFont="1" applyFill="1" applyBorder="1" applyAlignment="1">
      <alignment horizontal="center"/>
    </xf>
    <xf numFmtId="0" fontId="4" fillId="22" borderId="20" xfId="0" applyFont="1" applyFill="1" applyBorder="1" applyAlignment="1">
      <alignment horizontal="left"/>
    </xf>
    <xf numFmtId="0" fontId="3" fillId="0" borderId="38" xfId="0" applyFont="1" applyBorder="1" applyAlignment="1">
      <alignment horizontal="center"/>
    </xf>
    <xf numFmtId="0" fontId="0" fillId="28" borderId="20" xfId="0" applyFill="1" applyBorder="1" applyAlignment="1">
      <alignment horizontal="left"/>
    </xf>
    <xf numFmtId="0" fontId="0" fillId="12" borderId="20" xfId="0" applyFill="1" applyBorder="1" applyAlignment="1">
      <alignment horizontal="left"/>
    </xf>
    <xf numFmtId="0" fontId="0" fillId="34" borderId="20" xfId="0" applyFill="1" applyBorder="1" applyAlignment="1">
      <alignment horizontal="left"/>
    </xf>
    <xf numFmtId="0" fontId="0" fillId="0" borderId="41" xfId="0" applyBorder="1"/>
    <xf numFmtId="0" fontId="3" fillId="8" borderId="67" xfId="0" applyFont="1" applyFill="1" applyBorder="1" applyAlignment="1">
      <alignment horizontal="center"/>
    </xf>
    <xf numFmtId="0" fontId="3" fillId="8" borderId="46" xfId="0" applyFont="1" applyFill="1" applyBorder="1" applyAlignment="1">
      <alignment horizontal="center"/>
    </xf>
    <xf numFmtId="0" fontId="3" fillId="8" borderId="68" xfId="0" applyFont="1" applyFill="1" applyBorder="1" applyAlignment="1">
      <alignment horizontal="center"/>
    </xf>
    <xf numFmtId="0" fontId="0" fillId="33" borderId="41" xfId="0" applyFill="1" applyBorder="1"/>
    <xf numFmtId="0" fontId="0" fillId="0" borderId="14" xfId="0" applyBorder="1" applyAlignment="1" quotePrefix="1">
      <alignment horizontal="left"/>
    </xf>
    <xf numFmtId="0" fontId="0" fillId="0" borderId="14" xfId="0" applyBorder="1" applyAlignment="1" quotePrefix="1">
      <alignment horizontal="center"/>
    </xf>
    <xf numFmtId="0" fontId="0" fillId="0" borderId="22" xfId="0" applyBorder="1" applyAlignment="1" quotePrefix="1">
      <alignment horizontal="left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 val="1"/>
        <i val="0"/>
        <color theme="1"/>
      </font>
      <fill>
        <patternFill patternType="solid">
          <bgColor theme="0"/>
        </patternFill>
      </fill>
    </dxf>
    <dxf>
      <font>
        <color theme="0" tint="-0.14996795556505"/>
      </font>
      <fill>
        <patternFill patternType="solid">
          <bgColor theme="0" tint="-0.499984740745262"/>
        </patternFill>
      </fill>
    </dxf>
    <dxf>
      <fill>
        <patternFill patternType="solid">
          <bgColor theme="2" tint="-0.0999481185338908"/>
        </patternFill>
      </fill>
    </dxf>
    <dxf>
      <fill>
        <patternFill patternType="solid">
          <bgColor theme="4" tint="0.399945066682943"/>
        </patternFill>
      </fill>
    </dxf>
    <dxf>
      <fill>
        <patternFill patternType="solid">
          <bgColor rgb="FF76D6FF"/>
        </patternFill>
      </fill>
    </dxf>
    <dxf>
      <font>
        <b val="1"/>
        <i val="0"/>
        <color theme="0"/>
      </font>
      <fill>
        <patternFill patternType="solid">
          <bgColor rgb="FF002060"/>
        </patternFill>
      </fill>
    </dxf>
    <dxf>
      <font>
        <color theme="1"/>
      </font>
      <fill>
        <patternFill patternType="solid">
          <bgColor rgb="FFFFD579"/>
        </patternFill>
      </fill>
    </dxf>
    <dxf>
      <font>
        <color theme="1"/>
      </font>
      <fill>
        <patternFill patternType="solid">
          <bgColor rgb="FFFFFFCC"/>
        </patternFill>
      </fill>
    </dxf>
    <dxf>
      <font>
        <b val="1"/>
        <i val="0"/>
        <color theme="1"/>
      </font>
      <fill>
        <patternFill patternType="solid">
          <bgColor theme="0" tint="-0.349986266670736"/>
        </patternFill>
      </fill>
    </dxf>
    <dxf>
      <font>
        <color theme="1"/>
      </font>
      <fill>
        <patternFill patternType="solid">
          <bgColor theme="0" tint="-0.0499893185216834"/>
        </patternFill>
      </fill>
    </dxf>
    <dxf>
      <font>
        <color theme="1"/>
      </font>
      <fill>
        <patternFill patternType="solid">
          <bgColor theme="0" tint="-0.249946592608417"/>
        </patternFill>
      </fill>
    </dxf>
    <dxf>
      <font>
        <color theme="1"/>
      </font>
      <fill>
        <patternFill patternType="solid">
          <bgColor theme="5" tint="0.799981688894314"/>
        </patternFill>
      </fill>
    </dxf>
    <dxf>
      <font>
        <b val="1"/>
        <i val="0"/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D1F7FF"/>
        </patternFill>
      </fill>
    </dxf>
    <dxf>
      <font>
        <strike val="0"/>
        <u val="none"/>
        <color theme="1"/>
      </font>
      <fill>
        <patternFill patternType="solid">
          <bgColor theme="0" tint="-0.14996795556505"/>
        </patternFill>
      </fill>
    </dxf>
  </dxfs>
  <tableStyles count="0" defaultTableStyle="TableStyleMedium9" defaultPivotStyle="PivotStyleLight16"/>
  <colors>
    <mruColors>
      <color rgb="00FFD579"/>
      <color rgb="00FFAA79"/>
      <color rgb="00FF9300"/>
      <color rgb="00011893"/>
      <color rgb="00FFFFCC"/>
      <color rgb="0076D6FF"/>
      <color rgb="00D1F7FF"/>
      <color rgb="000432FF"/>
      <color rgb="00005493"/>
      <color rgb="00FFD4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icolas%20osole\AppData\Roaming\kingsoft\office6\backup\4PACK%20Cotizador%20Costo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D"/>
      <sheetName val="Tiempo de Entrega"/>
      <sheetName val="Produccion"/>
      <sheetName val="Materiales"/>
      <sheetName val="Tintas"/>
      <sheetName val="Adhesivos"/>
      <sheetName val="Diluyente"/>
      <sheetName val="Tela"/>
      <sheetName val="Zipper y Picos"/>
      <sheetName val="Caja"/>
      <sheetName val="Flete"/>
      <sheetName val="Margen"/>
    </sheetNames>
    <sheetDataSet>
      <sheetData sheetId="0">
        <row r="18">
          <cell r="B18">
            <v>4.16666666666667</v>
          </cell>
        </row>
        <row r="19">
          <cell r="B19">
            <v>6.38297872340426</v>
          </cell>
        </row>
        <row r="20">
          <cell r="B20">
            <v>8.69565217391303</v>
          </cell>
        </row>
      </sheetData>
      <sheetData sheetId="1"/>
      <sheetData sheetId="2">
        <row r="2">
          <cell r="B2">
            <v>58.46</v>
          </cell>
        </row>
        <row r="2">
          <cell r="D2">
            <v>20000</v>
          </cell>
          <cell r="E2">
            <v>1.5</v>
          </cell>
          <cell r="F2">
            <v>0</v>
          </cell>
        </row>
        <row r="3">
          <cell r="B3">
            <v>41.35</v>
          </cell>
        </row>
        <row r="3">
          <cell r="D3">
            <v>16000</v>
          </cell>
          <cell r="E3">
            <v>0.5</v>
          </cell>
          <cell r="F3">
            <v>0</v>
          </cell>
        </row>
        <row r="4">
          <cell r="B4">
            <v>39.54</v>
          </cell>
        </row>
        <row r="4">
          <cell r="D4">
            <v>8000</v>
          </cell>
          <cell r="E4">
            <v>0</v>
          </cell>
          <cell r="F4">
            <v>0.05</v>
          </cell>
        </row>
        <row r="5">
          <cell r="B5">
            <v>60.01</v>
          </cell>
        </row>
        <row r="5">
          <cell r="F5">
            <v>0.15</v>
          </cell>
          <cell r="G5">
            <v>100</v>
          </cell>
          <cell r="H5">
            <v>0.1</v>
          </cell>
          <cell r="I5">
            <v>100</v>
          </cell>
        </row>
        <row r="6">
          <cell r="G6">
            <v>100</v>
          </cell>
        </row>
        <row r="7">
          <cell r="B7">
            <v>20.0033333333333</v>
          </cell>
        </row>
        <row r="7">
          <cell r="E7">
            <v>0.5</v>
          </cell>
          <cell r="F7">
            <v>0.05</v>
          </cell>
          <cell r="G7">
            <v>100</v>
          </cell>
        </row>
        <row r="12">
          <cell r="A12" t="str">
            <v>Mangas</v>
          </cell>
        </row>
        <row r="13">
          <cell r="A13">
            <v>35</v>
          </cell>
        </row>
        <row r="13">
          <cell r="C13">
            <v>3</v>
          </cell>
          <cell r="D13">
            <v>0.043</v>
          </cell>
        </row>
        <row r="14">
          <cell r="A14">
            <v>36</v>
          </cell>
        </row>
        <row r="14">
          <cell r="C14">
            <v>6</v>
          </cell>
          <cell r="D14">
            <v>0.052</v>
          </cell>
        </row>
        <row r="15">
          <cell r="A15">
            <v>38</v>
          </cell>
        </row>
        <row r="16">
          <cell r="A16">
            <v>40</v>
          </cell>
        </row>
        <row r="17">
          <cell r="A17">
            <v>42</v>
          </cell>
        </row>
        <row r="18">
          <cell r="A18">
            <v>44</v>
          </cell>
        </row>
        <row r="19">
          <cell r="A19">
            <v>45</v>
          </cell>
        </row>
        <row r="20">
          <cell r="A20">
            <v>47</v>
          </cell>
        </row>
        <row r="21">
          <cell r="A21">
            <v>48</v>
          </cell>
        </row>
        <row r="22">
          <cell r="A22">
            <v>50</v>
          </cell>
        </row>
        <row r="23">
          <cell r="A23">
            <v>52</v>
          </cell>
        </row>
        <row r="24">
          <cell r="A24">
            <v>54</v>
          </cell>
        </row>
        <row r="25">
          <cell r="A25">
            <v>56</v>
          </cell>
        </row>
        <row r="26">
          <cell r="A26">
            <v>58</v>
          </cell>
        </row>
        <row r="27">
          <cell r="A27">
            <v>60</v>
          </cell>
        </row>
        <row r="28">
          <cell r="A28">
            <v>64</v>
          </cell>
        </row>
        <row r="29">
          <cell r="A29">
            <v>66</v>
          </cell>
        </row>
        <row r="30">
          <cell r="A30">
            <v>70</v>
          </cell>
        </row>
        <row r="31">
          <cell r="A31">
            <v>74</v>
          </cell>
        </row>
        <row r="32">
          <cell r="A32">
            <v>80</v>
          </cell>
        </row>
        <row r="38">
          <cell r="C38">
            <v>75</v>
          </cell>
        </row>
        <row r="38">
          <cell r="E38">
            <v>70</v>
          </cell>
        </row>
        <row r="38">
          <cell r="G38">
            <v>5</v>
          </cell>
        </row>
        <row r="38">
          <cell r="I38">
            <v>5</v>
          </cell>
        </row>
        <row r="38">
          <cell r="K38">
            <v>25</v>
          </cell>
        </row>
        <row r="39">
          <cell r="C39">
            <v>75</v>
          </cell>
        </row>
        <row r="39">
          <cell r="E39">
            <v>70</v>
          </cell>
        </row>
        <row r="39">
          <cell r="G39">
            <v>5</v>
          </cell>
        </row>
        <row r="39">
          <cell r="I39">
            <v>5</v>
          </cell>
        </row>
        <row r="40">
          <cell r="C40">
            <v>75</v>
          </cell>
        </row>
        <row r="40">
          <cell r="E40">
            <v>70</v>
          </cell>
        </row>
        <row r="40">
          <cell r="G40">
            <v>5</v>
          </cell>
        </row>
        <row r="40">
          <cell r="I40">
            <v>5</v>
          </cell>
        </row>
        <row r="41">
          <cell r="C41">
            <v>75</v>
          </cell>
        </row>
        <row r="41">
          <cell r="E41">
            <v>70</v>
          </cell>
        </row>
        <row r="41">
          <cell r="G41">
            <v>5</v>
          </cell>
        </row>
        <row r="41">
          <cell r="I41">
            <v>5</v>
          </cell>
        </row>
        <row r="42">
          <cell r="C42">
            <v>75</v>
          </cell>
        </row>
        <row r="42">
          <cell r="E42">
            <v>70</v>
          </cell>
        </row>
        <row r="42">
          <cell r="G42">
            <v>5</v>
          </cell>
        </row>
        <row r="42">
          <cell r="I42">
            <v>5</v>
          </cell>
        </row>
        <row r="43">
          <cell r="C43">
            <v>70</v>
          </cell>
        </row>
        <row r="43">
          <cell r="E43">
            <v>65</v>
          </cell>
        </row>
        <row r="43">
          <cell r="G43">
            <v>5</v>
          </cell>
        </row>
        <row r="43">
          <cell r="I43">
            <v>5</v>
          </cell>
        </row>
        <row r="44">
          <cell r="C44">
            <v>70</v>
          </cell>
        </row>
        <row r="44">
          <cell r="E44">
            <v>65</v>
          </cell>
        </row>
        <row r="44">
          <cell r="G44">
            <v>5</v>
          </cell>
        </row>
        <row r="44">
          <cell r="I44">
            <v>5</v>
          </cell>
        </row>
        <row r="45">
          <cell r="C45">
            <v>70</v>
          </cell>
        </row>
        <row r="45">
          <cell r="E45">
            <v>65</v>
          </cell>
        </row>
        <row r="45">
          <cell r="G45">
            <v>5</v>
          </cell>
        </row>
        <row r="45">
          <cell r="I45">
            <v>5</v>
          </cell>
        </row>
        <row r="46">
          <cell r="C46">
            <v>65</v>
          </cell>
        </row>
        <row r="46">
          <cell r="E46">
            <v>50</v>
          </cell>
        </row>
        <row r="46">
          <cell r="G46">
            <v>5</v>
          </cell>
        </row>
        <row r="46">
          <cell r="I46">
            <v>5</v>
          </cell>
        </row>
        <row r="47">
          <cell r="C47">
            <v>65</v>
          </cell>
        </row>
        <row r="47">
          <cell r="E47">
            <v>50</v>
          </cell>
        </row>
        <row r="47">
          <cell r="G47">
            <v>5</v>
          </cell>
        </row>
        <row r="47">
          <cell r="I47">
            <v>5</v>
          </cell>
        </row>
        <row r="48">
          <cell r="C48">
            <v>65</v>
          </cell>
        </row>
        <row r="48">
          <cell r="E48">
            <v>50</v>
          </cell>
        </row>
        <row r="48">
          <cell r="G48">
            <v>5</v>
          </cell>
        </row>
        <row r="48">
          <cell r="I48">
            <v>5</v>
          </cell>
        </row>
        <row r="49">
          <cell r="C49">
            <v>60</v>
          </cell>
        </row>
        <row r="49">
          <cell r="E49">
            <v>40</v>
          </cell>
        </row>
        <row r="49">
          <cell r="G49">
            <v>5</v>
          </cell>
        </row>
        <row r="49">
          <cell r="I49">
            <v>5</v>
          </cell>
        </row>
        <row r="50">
          <cell r="C50">
            <v>60</v>
          </cell>
        </row>
        <row r="50">
          <cell r="E50">
            <v>40</v>
          </cell>
        </row>
        <row r="50">
          <cell r="G50">
            <v>5</v>
          </cell>
        </row>
        <row r="50">
          <cell r="I50">
            <v>5</v>
          </cell>
        </row>
        <row r="51">
          <cell r="C51">
            <v>60</v>
          </cell>
        </row>
        <row r="51">
          <cell r="E51">
            <v>40</v>
          </cell>
        </row>
        <row r="51">
          <cell r="G51">
            <v>5</v>
          </cell>
        </row>
        <row r="51">
          <cell r="I51">
            <v>5</v>
          </cell>
        </row>
        <row r="52">
          <cell r="C52">
            <v>60</v>
          </cell>
        </row>
        <row r="52">
          <cell r="E52">
            <v>40</v>
          </cell>
        </row>
        <row r="52">
          <cell r="G52">
            <v>5</v>
          </cell>
        </row>
        <row r="52">
          <cell r="I52">
            <v>5</v>
          </cell>
        </row>
        <row r="53">
          <cell r="C53">
            <v>60</v>
          </cell>
        </row>
        <row r="53">
          <cell r="E53">
            <v>40</v>
          </cell>
        </row>
        <row r="53">
          <cell r="G53">
            <v>5</v>
          </cell>
        </row>
        <row r="53">
          <cell r="I53">
            <v>5</v>
          </cell>
        </row>
        <row r="54">
          <cell r="C54">
            <v>50</v>
          </cell>
        </row>
        <row r="54">
          <cell r="E54">
            <v>30</v>
          </cell>
        </row>
        <row r="54">
          <cell r="G54">
            <v>5</v>
          </cell>
        </row>
        <row r="54">
          <cell r="I54">
            <v>5</v>
          </cell>
        </row>
      </sheetData>
      <sheetData sheetId="3">
        <row r="2">
          <cell r="B2">
            <v>3.14356737388025</v>
          </cell>
        </row>
        <row r="3">
          <cell r="B3">
            <v>3.32356737388024</v>
          </cell>
        </row>
        <row r="4">
          <cell r="B4">
            <v>3.32356737388024</v>
          </cell>
        </row>
        <row r="5">
          <cell r="B5">
            <v>0</v>
          </cell>
        </row>
        <row r="6">
          <cell r="B6">
            <v>8</v>
          </cell>
        </row>
        <row r="9">
          <cell r="B9">
            <v>3.65</v>
          </cell>
        </row>
        <row r="10">
          <cell r="B10">
            <v>5.85</v>
          </cell>
        </row>
        <row r="12">
          <cell r="B12">
            <v>4.85</v>
          </cell>
        </row>
        <row r="15">
          <cell r="B15">
            <v>3.75</v>
          </cell>
        </row>
        <row r="16">
          <cell r="B16">
            <v>4</v>
          </cell>
        </row>
        <row r="17">
          <cell r="B17">
            <v>4.55</v>
          </cell>
        </row>
        <row r="18">
          <cell r="B18">
            <v>4</v>
          </cell>
        </row>
        <row r="19">
          <cell r="B19">
            <v>4</v>
          </cell>
        </row>
        <row r="20">
          <cell r="B20">
            <v>3.4</v>
          </cell>
        </row>
        <row r="21">
          <cell r="B21">
            <v>0</v>
          </cell>
        </row>
        <row r="24">
          <cell r="B24">
            <v>8.8253032636597</v>
          </cell>
        </row>
      </sheetData>
      <sheetData sheetId="4">
        <row r="3">
          <cell r="C3">
            <v>5.39</v>
          </cell>
        </row>
        <row r="5">
          <cell r="C5">
            <v>6.7</v>
          </cell>
        </row>
        <row r="6">
          <cell r="C6">
            <v>7.3</v>
          </cell>
        </row>
        <row r="7">
          <cell r="C7">
            <v>7.035</v>
          </cell>
        </row>
        <row r="8">
          <cell r="C8">
            <v>6.07</v>
          </cell>
        </row>
        <row r="9">
          <cell r="C9">
            <v>6.7</v>
          </cell>
        </row>
        <row r="10">
          <cell r="C10">
            <v>7.3</v>
          </cell>
        </row>
        <row r="11">
          <cell r="C11">
            <v>7.035</v>
          </cell>
        </row>
        <row r="12">
          <cell r="C12">
            <v>6.07</v>
          </cell>
        </row>
        <row r="14">
          <cell r="C14">
            <v>7.164</v>
          </cell>
        </row>
        <row r="15">
          <cell r="C15">
            <v>18.462</v>
          </cell>
        </row>
        <row r="16">
          <cell r="C16">
            <v>8.256</v>
          </cell>
        </row>
        <row r="20">
          <cell r="C20">
            <v>5.445</v>
          </cell>
        </row>
      </sheetData>
      <sheetData sheetId="5">
        <row r="3">
          <cell r="D3">
            <v>2</v>
          </cell>
        </row>
        <row r="4">
          <cell r="C4">
            <v>9.9</v>
          </cell>
          <cell r="D4">
            <v>0.63</v>
          </cell>
        </row>
        <row r="5">
          <cell r="C5">
            <v>9.9</v>
          </cell>
          <cell r="D5">
            <v>0.37</v>
          </cell>
        </row>
        <row r="10">
          <cell r="D10">
            <v>4</v>
          </cell>
        </row>
        <row r="15">
          <cell r="E15">
            <v>11.13</v>
          </cell>
        </row>
      </sheetData>
      <sheetData sheetId="6">
        <row r="3">
          <cell r="C3">
            <v>1.86</v>
          </cell>
        </row>
        <row r="5">
          <cell r="C5">
            <v>2.09</v>
          </cell>
        </row>
        <row r="18">
          <cell r="C18">
            <v>1.25</v>
          </cell>
        </row>
      </sheetData>
      <sheetData sheetId="7">
        <row r="3">
          <cell r="C3">
            <v>399</v>
          </cell>
        </row>
      </sheetData>
      <sheetData sheetId="8">
        <row r="3">
          <cell r="D3">
            <v>0.0429042904290429</v>
          </cell>
        </row>
        <row r="6">
          <cell r="D6">
            <v>32.2317161716172</v>
          </cell>
        </row>
        <row r="9">
          <cell r="D9">
            <v>0.015</v>
          </cell>
        </row>
      </sheetData>
      <sheetData sheetId="9">
        <row r="3">
          <cell r="D3">
            <v>0.376442244224422</v>
          </cell>
        </row>
      </sheetData>
      <sheetData sheetId="10">
        <row r="4">
          <cell r="A4" t="str">
            <v>Quilmes</v>
          </cell>
          <cell r="B4">
            <v>57754</v>
          </cell>
          <cell r="C4">
            <v>43315</v>
          </cell>
        </row>
        <row r="4">
          <cell r="F4">
            <v>38.1214521452145</v>
          </cell>
          <cell r="G4">
            <v>76.242904290429</v>
          </cell>
          <cell r="H4">
            <v>152.485808580858</v>
          </cell>
          <cell r="I4">
            <v>200.135313531353</v>
          </cell>
        </row>
        <row r="5">
          <cell r="A5" t="str">
            <v>Avellaneda</v>
          </cell>
          <cell r="B5">
            <v>72192</v>
          </cell>
          <cell r="C5">
            <v>57754</v>
          </cell>
        </row>
        <row r="5">
          <cell r="F5">
            <v>47.6514851485149</v>
          </cell>
          <cell r="G5">
            <v>95.3029702970297</v>
          </cell>
          <cell r="H5">
            <v>190.605940594059</v>
          </cell>
          <cell r="I5">
            <v>266.850165016502</v>
          </cell>
        </row>
        <row r="6">
          <cell r="A6" t="str">
            <v>Caba</v>
          </cell>
          <cell r="B6">
            <v>86631</v>
          </cell>
          <cell r="C6">
            <v>72182</v>
          </cell>
        </row>
        <row r="6">
          <cell r="F6">
            <v>57.1821782178218</v>
          </cell>
          <cell r="G6">
            <v>114.364356435644</v>
          </cell>
          <cell r="H6">
            <v>228.728712871287</v>
          </cell>
          <cell r="I6">
            <v>333.514191419142</v>
          </cell>
        </row>
        <row r="7">
          <cell r="A7" t="str">
            <v>LaPlata</v>
          </cell>
          <cell r="B7">
            <v>86631</v>
          </cell>
          <cell r="C7">
            <v>72182</v>
          </cell>
        </row>
        <row r="7">
          <cell r="F7">
            <v>57.1821782178218</v>
          </cell>
          <cell r="G7">
            <v>114.364356435644</v>
          </cell>
          <cell r="H7">
            <v>228.728712871287</v>
          </cell>
          <cell r="I7">
            <v>333.514191419142</v>
          </cell>
        </row>
        <row r="8">
          <cell r="A8" t="str">
            <v>Munro</v>
          </cell>
          <cell r="B8">
            <v>101069</v>
          </cell>
          <cell r="C8">
            <v>86631</v>
          </cell>
        </row>
        <row r="8">
          <cell r="F8">
            <v>66.7122112211221</v>
          </cell>
          <cell r="G8">
            <v>133.424422442244</v>
          </cell>
          <cell r="H8">
            <v>266.848844884488</v>
          </cell>
          <cell r="I8">
            <v>400.275247524753</v>
          </cell>
        </row>
        <row r="9">
          <cell r="A9" t="str">
            <v>SanMartin</v>
          </cell>
          <cell r="B9">
            <v>101069</v>
          </cell>
          <cell r="C9">
            <v>86631</v>
          </cell>
        </row>
        <row r="9">
          <cell r="F9">
            <v>66.7122112211221</v>
          </cell>
          <cell r="G9">
            <v>133.424422442244</v>
          </cell>
          <cell r="H9">
            <v>266.848844884488</v>
          </cell>
          <cell r="I9">
            <v>400.275247524753</v>
          </cell>
        </row>
        <row r="10">
          <cell r="A10" t="str">
            <v>Boulogne</v>
          </cell>
          <cell r="B10">
            <v>115508</v>
          </cell>
          <cell r="C10">
            <v>101069</v>
          </cell>
        </row>
        <row r="10">
          <cell r="F10">
            <v>76.242904290429</v>
          </cell>
          <cell r="G10">
            <v>152.485808580858</v>
          </cell>
          <cell r="H10">
            <v>304.971617161716</v>
          </cell>
          <cell r="I10">
            <v>466.985478547855</v>
          </cell>
        </row>
        <row r="11">
          <cell r="A11" t="str">
            <v>Ituzaingo</v>
          </cell>
          <cell r="B11">
            <v>115508</v>
          </cell>
          <cell r="C11">
            <v>101069</v>
          </cell>
        </row>
        <row r="11">
          <cell r="F11">
            <v>76.242904290429</v>
          </cell>
          <cell r="G11">
            <v>152.485808580858</v>
          </cell>
          <cell r="H11">
            <v>304.971617161716</v>
          </cell>
          <cell r="I11">
            <v>466.985478547855</v>
          </cell>
        </row>
        <row r="12">
          <cell r="A12" t="str">
            <v>Moron</v>
          </cell>
          <cell r="B12">
            <v>115508</v>
          </cell>
          <cell r="C12">
            <v>101069</v>
          </cell>
        </row>
        <row r="12">
          <cell r="F12">
            <v>76.242904290429</v>
          </cell>
          <cell r="G12">
            <v>152.485808580858</v>
          </cell>
          <cell r="H12">
            <v>304.971617161716</v>
          </cell>
          <cell r="I12">
            <v>466.985478547855</v>
          </cell>
        </row>
        <row r="13">
          <cell r="A13" t="str">
            <v>JLSuarez</v>
          </cell>
          <cell r="B13">
            <v>115508</v>
          </cell>
          <cell r="C13">
            <v>101069</v>
          </cell>
        </row>
        <row r="13">
          <cell r="F13">
            <v>76.242904290429</v>
          </cell>
          <cell r="G13">
            <v>152.485808580858</v>
          </cell>
          <cell r="H13">
            <v>304.971617161716</v>
          </cell>
          <cell r="I13">
            <v>466.985478547855</v>
          </cell>
        </row>
        <row r="14">
          <cell r="A14" t="str">
            <v>SanJusto</v>
          </cell>
          <cell r="B14">
            <v>129946</v>
          </cell>
          <cell r="C14">
            <v>115508</v>
          </cell>
        </row>
        <row r="14">
          <cell r="F14">
            <v>85.7729372937294</v>
          </cell>
          <cell r="G14">
            <v>171.545874587459</v>
          </cell>
          <cell r="H14">
            <v>343.091749174917</v>
          </cell>
          <cell r="I14">
            <v>533.700330033003</v>
          </cell>
        </row>
        <row r="15">
          <cell r="A15" t="str">
            <v>PPodesta</v>
          </cell>
          <cell r="B15">
            <v>129946</v>
          </cell>
          <cell r="C15">
            <v>115508</v>
          </cell>
        </row>
        <row r="15">
          <cell r="F15">
            <v>85.7729372937294</v>
          </cell>
          <cell r="G15">
            <v>171.545874587459</v>
          </cell>
          <cell r="H15">
            <v>343.091749174917</v>
          </cell>
          <cell r="I15">
            <v>533.700330033003</v>
          </cell>
        </row>
        <row r="16">
          <cell r="A16" t="str">
            <v>Tigre</v>
          </cell>
          <cell r="B16">
            <v>144385</v>
          </cell>
          <cell r="C16">
            <v>129946</v>
          </cell>
        </row>
        <row r="16">
          <cell r="F16">
            <v>95.3036303630363</v>
          </cell>
          <cell r="G16">
            <v>190.607260726073</v>
          </cell>
          <cell r="H16">
            <v>381.214521452145</v>
          </cell>
          <cell r="I16">
            <v>600.410561056106</v>
          </cell>
        </row>
        <row r="17">
          <cell r="A17" t="str">
            <v>Merlo</v>
          </cell>
          <cell r="B17">
            <v>144385</v>
          </cell>
          <cell r="C17">
            <v>129946</v>
          </cell>
        </row>
        <row r="17">
          <cell r="F17">
            <v>95.3036303630363</v>
          </cell>
          <cell r="G17">
            <v>190.607260726073</v>
          </cell>
          <cell r="H17">
            <v>381.214521452145</v>
          </cell>
          <cell r="I17">
            <v>600.410561056106</v>
          </cell>
        </row>
        <row r="18">
          <cell r="A18" t="str">
            <v>SanFernando</v>
          </cell>
          <cell r="B18">
            <v>144385</v>
          </cell>
          <cell r="C18">
            <v>129946</v>
          </cell>
        </row>
        <row r="18">
          <cell r="F18">
            <v>95.3036303630363</v>
          </cell>
          <cell r="G18">
            <v>190.607260726073</v>
          </cell>
          <cell r="H18">
            <v>381.214521452145</v>
          </cell>
          <cell r="I18">
            <v>600.410561056106</v>
          </cell>
        </row>
        <row r="19">
          <cell r="A19" t="str">
            <v>BellaVista</v>
          </cell>
          <cell r="B19">
            <v>144385</v>
          </cell>
          <cell r="C19">
            <v>129946</v>
          </cell>
        </row>
        <row r="19">
          <cell r="F19">
            <v>95.3036303630363</v>
          </cell>
          <cell r="G19">
            <v>190.607260726073</v>
          </cell>
          <cell r="H19">
            <v>381.214521452145</v>
          </cell>
          <cell r="I19">
            <v>600.410561056106</v>
          </cell>
        </row>
        <row r="20">
          <cell r="A20" t="str">
            <v>Garin</v>
          </cell>
          <cell r="B20">
            <v>144385</v>
          </cell>
          <cell r="C20">
            <v>129946</v>
          </cell>
        </row>
        <row r="20">
          <cell r="F20">
            <v>95.3036303630363</v>
          </cell>
          <cell r="G20">
            <v>190.607260726073</v>
          </cell>
          <cell r="H20">
            <v>381.214521452145</v>
          </cell>
          <cell r="I20">
            <v>600.410561056106</v>
          </cell>
        </row>
        <row r="21">
          <cell r="A21" t="str">
            <v>Ezeiza</v>
          </cell>
          <cell r="B21">
            <v>144385</v>
          </cell>
          <cell r="C21">
            <v>129946</v>
          </cell>
        </row>
        <row r="21">
          <cell r="F21">
            <v>95.3036303630363</v>
          </cell>
          <cell r="G21">
            <v>190.607260726073</v>
          </cell>
          <cell r="H21">
            <v>381.214521452145</v>
          </cell>
          <cell r="I21">
            <v>600.410561056106</v>
          </cell>
        </row>
        <row r="22">
          <cell r="A22" t="str">
            <v>Tortuguitas</v>
          </cell>
          <cell r="B22">
            <v>144385</v>
          </cell>
          <cell r="C22">
            <v>129946</v>
          </cell>
        </row>
        <row r="22">
          <cell r="F22">
            <v>95.3036303630363</v>
          </cell>
          <cell r="G22">
            <v>190.607260726073</v>
          </cell>
          <cell r="H22">
            <v>381.214521452145</v>
          </cell>
          <cell r="I22">
            <v>600.410561056106</v>
          </cell>
        </row>
        <row r="23">
          <cell r="A23" t="str">
            <v>Moreno</v>
          </cell>
          <cell r="B23">
            <v>144385</v>
          </cell>
          <cell r="C23">
            <v>129946</v>
          </cell>
        </row>
        <row r="23">
          <cell r="F23">
            <v>95.3036303630363</v>
          </cell>
          <cell r="G23">
            <v>190.607260726073</v>
          </cell>
          <cell r="H23">
            <v>381.214521452145</v>
          </cell>
          <cell r="I23">
            <v>600.410561056106</v>
          </cell>
        </row>
        <row r="24">
          <cell r="A24" t="str">
            <v>Pilar</v>
          </cell>
          <cell r="B24">
            <v>144385</v>
          </cell>
          <cell r="C24">
            <v>129946</v>
          </cell>
        </row>
        <row r="24">
          <cell r="F24">
            <v>95.3036303630363</v>
          </cell>
          <cell r="G24">
            <v>190.607260726073</v>
          </cell>
          <cell r="H24">
            <v>381.214521452145</v>
          </cell>
          <cell r="I24">
            <v>600.410561056106</v>
          </cell>
        </row>
        <row r="25">
          <cell r="A25" t="str">
            <v>Escobar</v>
          </cell>
          <cell r="B25">
            <v>144385</v>
          </cell>
          <cell r="C25">
            <v>129946</v>
          </cell>
        </row>
        <row r="25">
          <cell r="F25">
            <v>95.3036303630363</v>
          </cell>
          <cell r="G25">
            <v>190.607260726073</v>
          </cell>
          <cell r="H25">
            <v>381.214521452145</v>
          </cell>
          <cell r="I25">
            <v>600.410561056106</v>
          </cell>
        </row>
        <row r="26">
          <cell r="A26" t="str">
            <v>Lujan</v>
          </cell>
          <cell r="B26">
            <v>144385</v>
          </cell>
          <cell r="C26">
            <v>129946</v>
          </cell>
        </row>
        <row r="26">
          <cell r="F26">
            <v>95.3036303630363</v>
          </cell>
          <cell r="G26">
            <v>190.607260726073</v>
          </cell>
          <cell r="H26">
            <v>381.214521452145</v>
          </cell>
          <cell r="I26">
            <v>600.410561056106</v>
          </cell>
        </row>
        <row r="27">
          <cell r="A27" t="str">
            <v>aCotizar</v>
          </cell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Km a partir de los 150km</v>
          </cell>
          <cell r="B28">
            <v>2100</v>
          </cell>
          <cell r="C28">
            <v>4000</v>
          </cell>
          <cell r="D28">
            <v>4000</v>
          </cell>
          <cell r="E28">
            <v>0</v>
          </cell>
          <cell r="F28">
            <v>1.38613861386139</v>
          </cell>
          <cell r="G28">
            <v>2.64026402640264</v>
          </cell>
          <cell r="H28">
            <v>2.64026402640264</v>
          </cell>
          <cell r="I28">
            <v>0</v>
          </cell>
        </row>
        <row r="29">
          <cell r="A29" t="str">
            <v>EsperaXhr</v>
          </cell>
          <cell r="B29">
            <v>21000</v>
          </cell>
          <cell r="C29">
            <v>24000</v>
          </cell>
          <cell r="D29">
            <v>24000</v>
          </cell>
        </row>
        <row r="29">
          <cell r="F29">
            <v>13.8613861386139</v>
          </cell>
          <cell r="G29">
            <v>15.8415841584158</v>
          </cell>
          <cell r="H29">
            <v>15.8415841584158</v>
          </cell>
          <cell r="I29">
            <v>0</v>
          </cell>
        </row>
      </sheetData>
      <sheetData sheetId="11">
        <row r="3">
          <cell r="B3">
            <v>500</v>
          </cell>
          <cell r="C3">
            <v>1000</v>
          </cell>
          <cell r="D3">
            <v>2500</v>
          </cell>
          <cell r="E3">
            <v>5000</v>
          </cell>
          <cell r="F3" t="str">
            <v>A</v>
          </cell>
          <cell r="G3" t="str">
            <v>B</v>
          </cell>
          <cell r="H3" t="str">
            <v>C</v>
          </cell>
          <cell r="I3" t="str">
            <v>&gt;500</v>
          </cell>
        </row>
        <row r="4">
          <cell r="B4">
            <v>7.5</v>
          </cell>
        </row>
        <row r="4">
          <cell r="F4">
            <v>0</v>
          </cell>
          <cell r="G4">
            <v>1.5</v>
          </cell>
          <cell r="H4">
            <v>3</v>
          </cell>
          <cell r="I4">
            <v>5</v>
          </cell>
        </row>
        <row r="5">
          <cell r="B5">
            <v>17.5</v>
          </cell>
        </row>
        <row r="5">
          <cell r="F5">
            <v>0</v>
          </cell>
          <cell r="G5">
            <v>1.5</v>
          </cell>
          <cell r="H5">
            <v>3</v>
          </cell>
          <cell r="I5">
            <v>5</v>
          </cell>
        </row>
        <row r="6">
          <cell r="B6">
            <v>25</v>
          </cell>
        </row>
        <row r="6">
          <cell r="F6">
            <v>0</v>
          </cell>
          <cell r="G6">
            <v>1.5</v>
          </cell>
          <cell r="H6">
            <v>3</v>
          </cell>
          <cell r="I6">
            <v>5</v>
          </cell>
        </row>
        <row r="7">
          <cell r="B7">
            <v>25</v>
          </cell>
        </row>
        <row r="7">
          <cell r="F7">
            <v>0</v>
          </cell>
          <cell r="G7">
            <v>1.5</v>
          </cell>
          <cell r="H7">
            <v>3</v>
          </cell>
          <cell r="I7">
            <v>5</v>
          </cell>
        </row>
        <row r="8">
          <cell r="B8">
            <v>20</v>
          </cell>
        </row>
        <row r="8">
          <cell r="F8">
            <v>0</v>
          </cell>
          <cell r="G8">
            <v>1.5</v>
          </cell>
          <cell r="H8">
            <v>3</v>
          </cell>
          <cell r="I8">
            <v>5</v>
          </cell>
        </row>
        <row r="9">
          <cell r="B9">
            <v>30</v>
          </cell>
        </row>
        <row r="9">
          <cell r="F9">
            <v>0</v>
          </cell>
          <cell r="G9">
            <v>1.5</v>
          </cell>
          <cell r="H9">
            <v>3</v>
          </cell>
          <cell r="I9">
            <v>5</v>
          </cell>
        </row>
        <row r="10">
          <cell r="B10">
            <v>2</v>
          </cell>
          <cell r="C10">
            <v>0</v>
          </cell>
          <cell r="D10">
            <v>-2.5</v>
          </cell>
          <cell r="E10">
            <v>-5</v>
          </cell>
        </row>
        <row r="13">
          <cell r="B13">
            <v>500</v>
          </cell>
          <cell r="C13">
            <v>1000</v>
          </cell>
          <cell r="D13">
            <v>1500</v>
          </cell>
          <cell r="E13">
            <v>2000</v>
          </cell>
          <cell r="F13">
            <v>2500</v>
          </cell>
          <cell r="G13">
            <v>3000</v>
          </cell>
          <cell r="H13">
            <v>4000</v>
          </cell>
          <cell r="I13">
            <v>12000</v>
          </cell>
        </row>
        <row r="14">
          <cell r="B14">
            <v>51.3</v>
          </cell>
          <cell r="C14">
            <v>49.4</v>
          </cell>
          <cell r="D14">
            <v>47.5</v>
          </cell>
          <cell r="E14">
            <v>45.6</v>
          </cell>
          <cell r="F14">
            <v>43.7</v>
          </cell>
          <cell r="G14">
            <v>41.8</v>
          </cell>
          <cell r="H14">
            <v>39.9</v>
          </cell>
          <cell r="I14">
            <v>38</v>
          </cell>
          <cell r="J14">
            <v>0</v>
          </cell>
          <cell r="K14">
            <v>1.5</v>
          </cell>
          <cell r="L14">
            <v>3</v>
          </cell>
          <cell r="M14">
            <v>5</v>
          </cell>
        </row>
        <row r="15">
          <cell r="B15">
            <v>51.3</v>
          </cell>
          <cell r="C15">
            <v>49.4</v>
          </cell>
          <cell r="D15">
            <v>47.5</v>
          </cell>
          <cell r="E15">
            <v>45.6</v>
          </cell>
          <cell r="F15">
            <v>43.7</v>
          </cell>
          <cell r="G15">
            <v>41.8</v>
          </cell>
          <cell r="H15">
            <v>39.9</v>
          </cell>
          <cell r="I15">
            <v>38</v>
          </cell>
          <cell r="J15">
            <v>0</v>
          </cell>
          <cell r="K15">
            <v>1.5</v>
          </cell>
          <cell r="L15">
            <v>3</v>
          </cell>
          <cell r="M15">
            <v>5</v>
          </cell>
        </row>
        <row r="16">
          <cell r="B16">
            <v>64.8</v>
          </cell>
          <cell r="C16">
            <v>62.4</v>
          </cell>
          <cell r="D16">
            <v>60</v>
          </cell>
          <cell r="E16">
            <v>57.6</v>
          </cell>
          <cell r="F16">
            <v>55.2</v>
          </cell>
          <cell r="G16">
            <v>52.8</v>
          </cell>
          <cell r="H16">
            <v>50.4</v>
          </cell>
          <cell r="I16">
            <v>48</v>
          </cell>
          <cell r="J16">
            <v>0</v>
          </cell>
          <cell r="K16">
            <v>1.5</v>
          </cell>
          <cell r="L16">
            <v>3</v>
          </cell>
          <cell r="M16">
            <v>5</v>
          </cell>
        </row>
        <row r="17">
          <cell r="B17">
            <v>51.3</v>
          </cell>
          <cell r="C17">
            <v>49.4</v>
          </cell>
          <cell r="D17">
            <v>47.5</v>
          </cell>
          <cell r="E17">
            <v>45.6</v>
          </cell>
          <cell r="F17">
            <v>43.7</v>
          </cell>
          <cell r="G17">
            <v>41.8</v>
          </cell>
          <cell r="H17">
            <v>39.9</v>
          </cell>
          <cell r="I17">
            <v>38</v>
          </cell>
          <cell r="J17">
            <v>0</v>
          </cell>
          <cell r="K17">
            <v>1.5</v>
          </cell>
          <cell r="L17">
            <v>3</v>
          </cell>
          <cell r="M17">
            <v>5</v>
          </cell>
        </row>
      </sheetData>
    </sheetDataSet>
  </externalBook>
</externalLink>
</file>

<file path=xl/tables/table1.xml><?xml version="1.0" encoding="utf-8"?>
<table xmlns="http://schemas.openxmlformats.org/spreadsheetml/2006/main" id="5" name="Materiales" displayName="Materiales" ref="A35:R74" totalsRowShown="0">
  <autoFilter xmlns:etc="http://www.wps.cn/officeDocument/2017/etCustomData" ref="A35:R74" etc:filterBottomFollowUsedRange="0"/>
  <tableColumns count="18">
    <tableColumn id="1" name="PolietilenoCristal"/>
    <tableColumn id="2" name="PolietilenoBlanco"/>
    <tableColumn id="3" name="PolietilenoDpk"/>
    <tableColumn id="4" name="PolietilenoEvohCtal"/>
    <tableColumn id="5" name="PolietilenoEvohBco"/>
    <tableColumn id="6" name="PoliesterCristal"/>
    <tableColumn id="7" name="PoliesterSaran"/>
    <tableColumn id="8" name="PoliesterMetalizado"/>
    <tableColumn id="9" name="BoppCristal"/>
    <tableColumn id="10" name="BoppMate"/>
    <tableColumn id="11" name="BoppMetalizado"/>
    <tableColumn id="12" name="BoppBlanco"/>
    <tableColumn id="13" name="BoppPerladoBlanco"/>
    <tableColumn id="14" name="CastCristal"/>
    <tableColumn id="15" name="CastMetalizado"/>
    <tableColumn id="16" name="FoilAluminio"/>
    <tableColumn id="17" name="PapelSeda"/>
    <tableColumn id="18" name="Otr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/>
  <dimension ref="A1:AA221"/>
  <sheetViews>
    <sheetView zoomScale="150" zoomScaleNormal="150" topLeftCell="A128" workbookViewId="0">
      <selection activeCell="F16" sqref="F16:G17"/>
    </sheetView>
  </sheetViews>
  <sheetFormatPr defaultColWidth="11" defaultRowHeight="15"/>
  <cols>
    <col min="1" max="1" width="19.5047619047619" customWidth="1"/>
    <col min="2" max="2" width="16.5047619047619" style="168" customWidth="1"/>
    <col min="3" max="3" width="17.6666666666667" style="168" customWidth="1"/>
    <col min="4" max="4" width="19.1619047619048" customWidth="1"/>
    <col min="5" max="5" width="19" customWidth="1"/>
    <col min="6" max="6" width="14.6666666666667" customWidth="1"/>
    <col min="7" max="7" width="17" customWidth="1"/>
    <col min="8" max="8" width="18.5047619047619" customWidth="1"/>
    <col min="9" max="9" width="11.8285714285714" customWidth="1"/>
    <col min="10" max="10" width="14.1619047619048" customWidth="1"/>
    <col min="11" max="11" width="15.6666666666667" customWidth="1"/>
    <col min="12" max="12" width="17" customWidth="1"/>
    <col min="13" max="13" width="18.5047619047619" style="168" customWidth="1"/>
    <col min="14" max="14" width="12.5047619047619" customWidth="1"/>
    <col min="15" max="18" width="19" customWidth="1"/>
    <col min="19" max="19" width="14.6666666666667" customWidth="1"/>
    <col min="20" max="20" width="15" customWidth="1"/>
    <col min="21" max="21" width="17.6666666666667" customWidth="1"/>
    <col min="22" max="22" width="17.5047619047619" customWidth="1"/>
    <col min="23" max="23" width="13.1619047619048" customWidth="1"/>
    <col min="24" max="24" width="12.6666666666667" customWidth="1"/>
    <col min="25" max="25" width="17" customWidth="1"/>
    <col min="26" max="26" width="10.3333333333333" customWidth="1"/>
    <col min="27" max="27" width="9.66666666666667" customWidth="1"/>
    <col min="28" max="28" width="14.1619047619048" customWidth="1"/>
    <col min="30" max="30" width="17" customWidth="1"/>
    <col min="31" max="31" width="11.3333333333333" customWidth="1"/>
  </cols>
  <sheetData>
    <row r="1" spans="1:25">
      <c r="A1" s="340" t="s">
        <v>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1"/>
      <c r="O1" s="341"/>
      <c r="P1" s="341"/>
      <c r="Q1" s="341"/>
      <c r="R1" s="341"/>
    </row>
    <row r="2" spans="1:25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1"/>
      <c r="O2" s="341"/>
      <c r="P2" s="341"/>
      <c r="Q2" s="341"/>
      <c r="R2" s="341"/>
    </row>
    <row r="3" ht="15.75"/>
    <row r="4" ht="15.75" spans="1:25">
      <c r="A4" s="342" t="s">
        <v>1</v>
      </c>
      <c r="B4" s="343" t="s">
        <v>2</v>
      </c>
      <c r="C4" s="343" t="s">
        <v>3</v>
      </c>
      <c r="D4" s="343" t="s">
        <v>4</v>
      </c>
      <c r="E4" s="343" t="s">
        <v>5</v>
      </c>
    </row>
    <row r="5" spans="1:25">
      <c r="A5" s="344" t="s">
        <v>6</v>
      </c>
      <c r="B5" s="345">
        <f>+[1]Produccion!$B$2</f>
        <v>58.46</v>
      </c>
      <c r="C5" s="345">
        <f>+[1]Produccion!$D$2</f>
        <v>20000</v>
      </c>
      <c r="D5" s="345">
        <f>+[1]Produccion!$E$2</f>
        <v>1.5</v>
      </c>
      <c r="E5" s="346">
        <f>+[1]Produccion!$F$2</f>
        <v>0</v>
      </c>
    </row>
    <row r="6" spans="1:25">
      <c r="A6" s="347" t="s">
        <v>7</v>
      </c>
      <c r="B6" s="348">
        <f>+[1]Produccion!$B$3</f>
        <v>41.35</v>
      </c>
      <c r="C6" s="349">
        <f>+[1]Produccion!$D$3</f>
        <v>16000</v>
      </c>
      <c r="D6" s="349">
        <f>+[1]Produccion!$E$3</f>
        <v>0.5</v>
      </c>
      <c r="E6" s="350">
        <f>+[1]Produccion!$F$3</f>
        <v>0</v>
      </c>
    </row>
    <row r="7" ht="15.75" spans="1:25">
      <c r="A7" s="351" t="s">
        <v>8</v>
      </c>
      <c r="B7" s="352">
        <f>+[1]Produccion!$B$4</f>
        <v>39.54</v>
      </c>
      <c r="C7" s="349">
        <f>+[1]Produccion!$D$4</f>
        <v>8000</v>
      </c>
      <c r="D7" s="349">
        <f>+[1]Produccion!$E$4</f>
        <v>0</v>
      </c>
      <c r="E7" s="350">
        <f>+[1]Produccion!$F$4</f>
        <v>0.05</v>
      </c>
    </row>
    <row r="8" ht="15.75" spans="1:25">
      <c r="A8" s="353" t="s">
        <v>9</v>
      </c>
      <c r="B8" s="348">
        <f>+[1]Produccion!$B$5</f>
        <v>60.01</v>
      </c>
      <c r="C8" s="348"/>
      <c r="D8" s="348"/>
      <c r="E8" s="350">
        <f>+[1]Produccion!$F$5</f>
        <v>0.15</v>
      </c>
      <c r="F8" s="354">
        <f>+[1]Produccion!$G$5</f>
        <v>100</v>
      </c>
      <c r="G8" s="355">
        <f>+[1]Produccion!$H$5</f>
        <v>0.1</v>
      </c>
      <c r="H8" s="356">
        <f>+[1]Produccion!$I$5</f>
        <v>100</v>
      </c>
    </row>
    <row r="9" spans="1:25">
      <c r="A9" s="357" t="s">
        <v>10</v>
      </c>
      <c r="B9" s="348"/>
      <c r="C9" s="348"/>
      <c r="D9" s="348"/>
      <c r="E9" s="348"/>
      <c r="F9" s="354">
        <f>+[1]Produccion!$G$6</f>
        <v>100</v>
      </c>
      <c r="M9"/>
    </row>
    <row r="10" ht="15.75" spans="1:25">
      <c r="A10" s="358" t="s">
        <v>11</v>
      </c>
      <c r="B10" s="359">
        <f>+[1]Produccion!$B$7</f>
        <v>20.0033333333333</v>
      </c>
      <c r="C10" s="359">
        <v>20</v>
      </c>
      <c r="D10" s="359">
        <f>+[1]Produccion!$E$7</f>
        <v>0.5</v>
      </c>
      <c r="E10" s="360">
        <f>+[1]Produccion!$F$7</f>
        <v>0.05</v>
      </c>
      <c r="F10" s="361">
        <f>+[1]Produccion!$G$7</f>
        <v>100</v>
      </c>
    </row>
    <row r="12" spans="1:25">
      <c r="A12" s="340" t="s">
        <v>12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  <c r="O12" s="341"/>
      <c r="P12" s="341"/>
      <c r="Q12" s="341"/>
      <c r="R12" s="341"/>
    </row>
    <row r="13" spans="1:25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1"/>
      <c r="O13" s="341"/>
      <c r="P13" s="341"/>
      <c r="Q13" s="341"/>
      <c r="R13" s="341"/>
    </row>
    <row r="15" spans="1:25">
      <c r="A15" s="362" t="s">
        <v>13</v>
      </c>
      <c r="B15" s="362" t="s">
        <v>14</v>
      </c>
      <c r="C15" s="362" t="s">
        <v>15</v>
      </c>
      <c r="D15" s="362" t="s">
        <v>16</v>
      </c>
      <c r="F15" s="363" t="s">
        <v>17</v>
      </c>
      <c r="G15" s="364"/>
      <c r="H15" s="364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5" t="s">
        <v>18</v>
      </c>
      <c r="U15" s="362" t="s">
        <v>13</v>
      </c>
      <c r="V15" s="362" t="s">
        <v>19</v>
      </c>
      <c r="W15" s="362" t="s">
        <v>20</v>
      </c>
      <c r="X15" s="362"/>
      <c r="Y15" s="362" t="s">
        <v>21</v>
      </c>
    </row>
    <row r="16" spans="1:25">
      <c r="A16" s="366" t="s">
        <v>22</v>
      </c>
      <c r="B16" s="367" t="s">
        <v>23</v>
      </c>
      <c r="C16" s="367">
        <v>0.92</v>
      </c>
      <c r="D16" s="368">
        <f>+[1]Materiales!$B$2</f>
        <v>3.14356737388025</v>
      </c>
      <c r="F16" s="363" t="s">
        <v>24</v>
      </c>
      <c r="T16" s="367"/>
      <c r="U16" s="221" t="s">
        <v>25</v>
      </c>
      <c r="V16" s="367" t="s">
        <v>26</v>
      </c>
      <c r="W16" s="369">
        <v>350</v>
      </c>
      <c r="X16" s="221" t="s">
        <v>27</v>
      </c>
      <c r="Y16" s="367" t="s">
        <v>28</v>
      </c>
    </row>
    <row r="17" spans="1:25">
      <c r="A17" s="370" t="s">
        <v>29</v>
      </c>
      <c r="B17" s="367" t="s">
        <v>30</v>
      </c>
      <c r="C17" s="367">
        <v>0.92</v>
      </c>
      <c r="D17" s="368">
        <f>+[1]Materiales!$B$3</f>
        <v>3.32356737388024</v>
      </c>
      <c r="F17" s="363" t="s">
        <v>31</v>
      </c>
      <c r="T17" s="367"/>
      <c r="U17" s="221" t="s">
        <v>32</v>
      </c>
      <c r="V17" s="367" t="s">
        <v>33</v>
      </c>
      <c r="W17" s="371">
        <v>505</v>
      </c>
      <c r="X17" s="221" t="s">
        <v>34</v>
      </c>
      <c r="Y17" s="367"/>
    </row>
    <row r="18" spans="1:25">
      <c r="A18" s="372" t="s">
        <v>35</v>
      </c>
      <c r="B18" s="367" t="s">
        <v>36</v>
      </c>
      <c r="C18" s="367">
        <v>0.92</v>
      </c>
      <c r="D18" s="368">
        <f>+[1]Materiales!$B$4</f>
        <v>3.32356737388024</v>
      </c>
      <c r="F18" s="363" t="s">
        <v>37</v>
      </c>
      <c r="T18" s="373"/>
      <c r="U18" s="374" t="s">
        <v>38</v>
      </c>
      <c r="V18" s="373" t="s">
        <v>39</v>
      </c>
      <c r="W18" s="373"/>
      <c r="X18" s="374" t="s">
        <v>40</v>
      </c>
      <c r="Y18" s="373" t="s">
        <v>28</v>
      </c>
    </row>
    <row r="19" spans="1:25">
      <c r="A19" s="374" t="s">
        <v>41</v>
      </c>
      <c r="B19" s="367" t="s">
        <v>42</v>
      </c>
      <c r="C19" s="367">
        <v>1</v>
      </c>
      <c r="D19" s="367">
        <f>+[1]Materiales!$B$5</f>
        <v>0</v>
      </c>
      <c r="F19" s="363" t="s">
        <v>43</v>
      </c>
      <c r="T19" s="373"/>
      <c r="U19" s="374" t="s">
        <v>44</v>
      </c>
      <c r="V19" s="373" t="s">
        <v>39</v>
      </c>
      <c r="W19" s="375" t="s">
        <v>45</v>
      </c>
      <c r="X19" s="374" t="s">
        <v>40</v>
      </c>
      <c r="Y19" s="373" t="s">
        <v>28</v>
      </c>
    </row>
    <row r="20" spans="1:25">
      <c r="A20" s="376" t="s">
        <v>46</v>
      </c>
      <c r="B20" s="367" t="s">
        <v>47</v>
      </c>
      <c r="C20" s="367">
        <v>1</v>
      </c>
      <c r="D20" s="368">
        <f>+[1]Materiales!$B$6</f>
        <v>8</v>
      </c>
      <c r="F20" s="363" t="s">
        <v>48</v>
      </c>
      <c r="T20" s="373"/>
      <c r="U20" s="374" t="s">
        <v>49</v>
      </c>
      <c r="V20" s="373" t="s">
        <v>39</v>
      </c>
      <c r="W20" s="375" t="s">
        <v>50</v>
      </c>
      <c r="X20" s="374" t="s">
        <v>40</v>
      </c>
      <c r="Y20" s="373" t="s">
        <v>28</v>
      </c>
    </row>
    <row r="21" spans="1:25">
      <c r="A21" s="186" t="s">
        <v>51</v>
      </c>
      <c r="B21" s="367" t="s">
        <v>52</v>
      </c>
      <c r="C21" s="367">
        <v>1.41</v>
      </c>
      <c r="D21" s="367">
        <f>+[1]Materiales!$B$9</f>
        <v>3.65</v>
      </c>
      <c r="F21" s="363" t="s">
        <v>53</v>
      </c>
      <c r="T21" s="373"/>
      <c r="U21" s="374" t="s">
        <v>54</v>
      </c>
      <c r="V21" s="373" t="s">
        <v>39</v>
      </c>
      <c r="W21" s="375"/>
      <c r="X21" s="374" t="s">
        <v>40</v>
      </c>
      <c r="Y21" s="373" t="s">
        <v>28</v>
      </c>
    </row>
    <row r="22" spans="1:25">
      <c r="A22" s="377" t="s">
        <v>55</v>
      </c>
      <c r="B22" s="367" t="s">
        <v>56</v>
      </c>
      <c r="C22" s="367">
        <v>1.41</v>
      </c>
      <c r="D22" s="368">
        <f>+[1]Materiales!$B$10</f>
        <v>5.85</v>
      </c>
      <c r="F22" s="363" t="s">
        <v>57</v>
      </c>
      <c r="T22" s="378"/>
      <c r="U22" s="379" t="s">
        <v>58</v>
      </c>
      <c r="V22" s="378" t="s">
        <v>53</v>
      </c>
      <c r="W22" s="380" t="s">
        <v>59</v>
      </c>
      <c r="X22" s="379" t="s">
        <v>40</v>
      </c>
      <c r="Y22" s="378" t="s">
        <v>28</v>
      </c>
    </row>
    <row r="23" spans="1:25">
      <c r="A23" s="381" t="s">
        <v>60</v>
      </c>
      <c r="B23" s="367" t="s">
        <v>61</v>
      </c>
      <c r="C23" s="367">
        <v>1.41</v>
      </c>
      <c r="D23" s="368">
        <f>+[1]Materiales!$B$12</f>
        <v>4.85</v>
      </c>
      <c r="F23" s="363" t="s">
        <v>62</v>
      </c>
      <c r="T23" s="378"/>
      <c r="U23" s="379" t="s">
        <v>63</v>
      </c>
      <c r="V23" s="378" t="s">
        <v>53</v>
      </c>
      <c r="W23" s="380" t="s">
        <v>64</v>
      </c>
      <c r="X23" s="379" t="s">
        <v>40</v>
      </c>
      <c r="Y23" s="378" t="s">
        <v>28</v>
      </c>
    </row>
    <row r="24" spans="1:25">
      <c r="A24" s="382" t="s">
        <v>65</v>
      </c>
      <c r="B24" s="367" t="s">
        <v>66</v>
      </c>
      <c r="C24" s="367">
        <v>0.91</v>
      </c>
      <c r="D24" s="368">
        <f>+[1]Materiales!$B$15</f>
        <v>3.75</v>
      </c>
      <c r="F24" s="363" t="s">
        <v>67</v>
      </c>
      <c r="T24" s="378"/>
      <c r="U24" s="379" t="s">
        <v>68</v>
      </c>
      <c r="V24" s="378" t="s">
        <v>53</v>
      </c>
      <c r="W24" s="380" t="s">
        <v>69</v>
      </c>
      <c r="X24" s="379" t="s">
        <v>40</v>
      </c>
      <c r="Y24" s="378" t="s">
        <v>28</v>
      </c>
    </row>
    <row r="25" spans="1:25">
      <c r="A25" s="383" t="s">
        <v>70</v>
      </c>
      <c r="B25" s="367" t="s">
        <v>71</v>
      </c>
      <c r="C25" s="367">
        <v>0.91</v>
      </c>
      <c r="D25" s="368">
        <f>+[1]Materiales!$B$16</f>
        <v>4</v>
      </c>
      <c r="F25" s="363" t="s">
        <v>72</v>
      </c>
      <c r="T25" s="379"/>
      <c r="U25" s="379" t="s">
        <v>73</v>
      </c>
      <c r="V25" s="378" t="s">
        <v>53</v>
      </c>
      <c r="W25" s="380" t="s">
        <v>74</v>
      </c>
      <c r="X25" s="379" t="s">
        <v>40</v>
      </c>
      <c r="Y25" s="378" t="s">
        <v>28</v>
      </c>
    </row>
    <row r="26" spans="1:25">
      <c r="A26" s="384" t="s">
        <v>75</v>
      </c>
      <c r="B26" s="367" t="s">
        <v>76</v>
      </c>
      <c r="C26" s="367">
        <v>0.91</v>
      </c>
      <c r="D26" s="368">
        <f>+[1]Materiales!$B$17</f>
        <v>4.55</v>
      </c>
      <c r="F26" s="363" t="s">
        <v>77</v>
      </c>
      <c r="T26" s="385"/>
      <c r="U26" s="385" t="s">
        <v>58</v>
      </c>
      <c r="V26" s="386" t="s">
        <v>62</v>
      </c>
      <c r="W26" s="387" t="s">
        <v>78</v>
      </c>
      <c r="X26" s="385" t="s">
        <v>40</v>
      </c>
      <c r="Y26" s="386" t="s">
        <v>79</v>
      </c>
    </row>
    <row r="27" spans="1:25">
      <c r="A27" s="388" t="s">
        <v>80</v>
      </c>
      <c r="B27" s="367" t="s">
        <v>81</v>
      </c>
      <c r="C27" s="367">
        <v>0.95</v>
      </c>
      <c r="D27" s="368">
        <f>+[1]Materiales!$B$18</f>
        <v>4</v>
      </c>
      <c r="F27" s="363" t="s">
        <v>48</v>
      </c>
      <c r="T27" s="389"/>
      <c r="U27" s="389"/>
      <c r="V27" s="390"/>
      <c r="W27" s="391"/>
      <c r="X27" s="389"/>
      <c r="Y27" s="390"/>
    </row>
    <row r="28" spans="1:25">
      <c r="A28" s="392" t="s">
        <v>82</v>
      </c>
      <c r="B28" s="367" t="s">
        <v>83</v>
      </c>
      <c r="C28" s="367">
        <v>1.1</v>
      </c>
      <c r="D28" s="368">
        <f>+[1]Materiales!$B$19</f>
        <v>4</v>
      </c>
      <c r="F28" s="363" t="s">
        <v>84</v>
      </c>
      <c r="T28" s="385"/>
      <c r="U28" s="385" t="s">
        <v>85</v>
      </c>
      <c r="V28" s="386" t="s">
        <v>62</v>
      </c>
      <c r="W28" s="387" t="s">
        <v>86</v>
      </c>
      <c r="X28" s="385" t="s">
        <v>40</v>
      </c>
      <c r="Y28" s="386" t="s">
        <v>87</v>
      </c>
    </row>
    <row r="29" spans="1:25">
      <c r="A29" s="393" t="s">
        <v>88</v>
      </c>
      <c r="B29" s="367" t="s">
        <v>89</v>
      </c>
      <c r="C29" s="367">
        <v>0.91</v>
      </c>
      <c r="D29" s="368">
        <f>+[1]Materiales!$B$20</f>
        <v>3.4</v>
      </c>
      <c r="F29" s="363" t="s">
        <v>90</v>
      </c>
      <c r="T29" s="385"/>
      <c r="U29" s="385" t="s">
        <v>91</v>
      </c>
      <c r="V29" s="386" t="s">
        <v>62</v>
      </c>
      <c r="W29" s="386" t="s">
        <v>59</v>
      </c>
      <c r="X29" s="385" t="s">
        <v>40</v>
      </c>
      <c r="Y29" s="386" t="s">
        <v>87</v>
      </c>
    </row>
    <row r="30" spans="1:25">
      <c r="A30" s="394" t="s">
        <v>92</v>
      </c>
      <c r="B30" s="367" t="s">
        <v>93</v>
      </c>
      <c r="C30" s="367">
        <v>0.91</v>
      </c>
      <c r="D30" s="368">
        <f>+[1]Materiales!$B$21</f>
        <v>0</v>
      </c>
      <c r="T30" s="389"/>
      <c r="U30" s="389"/>
      <c r="V30" s="390"/>
      <c r="W30" s="391"/>
      <c r="X30" s="389"/>
      <c r="Y30" s="390"/>
    </row>
    <row r="31" spans="1:25">
      <c r="A31" s="395" t="s">
        <v>94</v>
      </c>
      <c r="B31" s="367" t="s">
        <v>95</v>
      </c>
      <c r="C31" s="367">
        <v>2.7</v>
      </c>
      <c r="D31" s="368">
        <f>+[1]Materiales!$B$24</f>
        <v>8.8253032636597</v>
      </c>
      <c r="T31" s="385"/>
      <c r="U31" s="385" t="s">
        <v>85</v>
      </c>
      <c r="V31" s="386" t="s">
        <v>62</v>
      </c>
      <c r="W31" s="387" t="s">
        <v>96</v>
      </c>
      <c r="X31" s="385" t="s">
        <v>40</v>
      </c>
      <c r="Y31" s="386" t="s">
        <v>97</v>
      </c>
    </row>
    <row r="32" spans="1:25">
      <c r="A32" s="396" t="s">
        <v>98</v>
      </c>
      <c r="B32" s="367" t="s">
        <v>99</v>
      </c>
      <c r="C32" s="367">
        <v>1.1</v>
      </c>
      <c r="D32" s="367">
        <f>+[1]Materiales!$B$25</f>
        <v>0</v>
      </c>
      <c r="T32" s="385"/>
      <c r="U32" s="385" t="s">
        <v>91</v>
      </c>
      <c r="V32" s="386" t="s">
        <v>62</v>
      </c>
      <c r="W32" s="386" t="s">
        <v>100</v>
      </c>
      <c r="X32" s="385" t="s">
        <v>40</v>
      </c>
      <c r="Y32" s="386" t="s">
        <v>97</v>
      </c>
    </row>
    <row r="33" spans="1:27">
      <c r="A33" s="524" t="s">
        <v>90</v>
      </c>
      <c r="B33" s="525" t="s">
        <v>90</v>
      </c>
      <c r="C33" s="367">
        <v>0</v>
      </c>
      <c r="D33" s="367">
        <v>0</v>
      </c>
      <c r="T33" s="389"/>
      <c r="U33" s="389"/>
      <c r="V33" s="390"/>
      <c r="W33" s="391"/>
      <c r="X33" s="389"/>
      <c r="Y33" s="390"/>
    </row>
    <row r="34" spans="1:27">
      <c r="T34" s="385"/>
      <c r="U34" s="385" t="s">
        <v>101</v>
      </c>
      <c r="V34" s="386" t="s">
        <v>62</v>
      </c>
      <c r="W34" s="386" t="s">
        <v>102</v>
      </c>
      <c r="X34" s="385" t="s">
        <v>40</v>
      </c>
      <c r="Y34" s="386" t="s">
        <v>79</v>
      </c>
      <c r="Z34" s="397" t="s">
        <v>103</v>
      </c>
      <c r="AA34" s="398"/>
    </row>
    <row r="35" spans="1:27">
      <c r="A35" s="366" t="s">
        <v>22</v>
      </c>
      <c r="B35" s="399" t="s">
        <v>29</v>
      </c>
      <c r="C35" s="400" t="s">
        <v>35</v>
      </c>
      <c r="D35" s="401" t="s">
        <v>41</v>
      </c>
      <c r="E35" s="402" t="s">
        <v>46</v>
      </c>
      <c r="F35" s="403" t="s">
        <v>51</v>
      </c>
      <c r="G35" s="404" t="s">
        <v>55</v>
      </c>
      <c r="H35" s="405" t="s">
        <v>60</v>
      </c>
      <c r="I35" s="406" t="s">
        <v>65</v>
      </c>
      <c r="J35" s="407" t="s">
        <v>70</v>
      </c>
      <c r="K35" s="408" t="s">
        <v>75</v>
      </c>
      <c r="L35" s="409" t="s">
        <v>80</v>
      </c>
      <c r="M35" s="410" t="s">
        <v>82</v>
      </c>
      <c r="N35" s="393" t="s">
        <v>88</v>
      </c>
      <c r="O35" s="394" t="s">
        <v>92</v>
      </c>
      <c r="P35" s="411" t="s">
        <v>94</v>
      </c>
      <c r="Q35" s="412" t="s">
        <v>98</v>
      </c>
      <c r="R35" s="526" t="s">
        <v>90</v>
      </c>
    </row>
    <row r="36" spans="1:27">
      <c r="A36">
        <v>30</v>
      </c>
      <c r="B36">
        <v>30</v>
      </c>
      <c r="C36">
        <v>30</v>
      </c>
      <c r="D36">
        <v>30</v>
      </c>
      <c r="E36">
        <v>30</v>
      </c>
      <c r="F36">
        <v>12</v>
      </c>
      <c r="G36">
        <v>14</v>
      </c>
      <c r="H36">
        <v>12</v>
      </c>
      <c r="I36">
        <v>17</v>
      </c>
      <c r="J36">
        <v>17</v>
      </c>
      <c r="K36">
        <v>17</v>
      </c>
      <c r="L36">
        <v>19</v>
      </c>
      <c r="M36">
        <v>20</v>
      </c>
      <c r="N36">
        <v>17</v>
      </c>
      <c r="O36">
        <v>17</v>
      </c>
      <c r="P36">
        <v>8</v>
      </c>
      <c r="Q36">
        <v>0</v>
      </c>
      <c r="R36">
        <v>0</v>
      </c>
    </row>
    <row r="37" spans="1:27">
      <c r="A37">
        <v>35</v>
      </c>
      <c r="B37">
        <v>35</v>
      </c>
      <c r="C37">
        <v>35</v>
      </c>
      <c r="D37">
        <v>35</v>
      </c>
      <c r="E37">
        <v>35</v>
      </c>
      <c r="I37">
        <v>20</v>
      </c>
      <c r="J37">
        <v>20</v>
      </c>
      <c r="K37">
        <v>20</v>
      </c>
      <c r="M37">
        <v>25</v>
      </c>
      <c r="N37">
        <v>20</v>
      </c>
      <c r="O37">
        <v>20</v>
      </c>
      <c r="P37">
        <v>10</v>
      </c>
    </row>
    <row r="38" spans="1:27">
      <c r="A38">
        <v>40</v>
      </c>
      <c r="B38">
        <v>40</v>
      </c>
      <c r="C38">
        <v>40</v>
      </c>
      <c r="D38">
        <v>40</v>
      </c>
      <c r="E38">
        <v>40</v>
      </c>
      <c r="I38">
        <v>25</v>
      </c>
      <c r="K38">
        <v>25</v>
      </c>
      <c r="M38">
        <v>30</v>
      </c>
      <c r="N38">
        <v>25</v>
      </c>
      <c r="O38">
        <v>25</v>
      </c>
      <c r="P38">
        <v>15</v>
      </c>
    </row>
    <row r="39" spans="1:27">
      <c r="A39">
        <v>45</v>
      </c>
      <c r="B39">
        <v>45</v>
      </c>
      <c r="C39">
        <v>45</v>
      </c>
      <c r="D39">
        <v>45</v>
      </c>
      <c r="E39">
        <v>45</v>
      </c>
      <c r="I39">
        <v>30</v>
      </c>
      <c r="K39">
        <v>30</v>
      </c>
      <c r="M39"/>
      <c r="N39">
        <v>30</v>
      </c>
      <c r="O39">
        <v>30</v>
      </c>
    </row>
    <row r="40" spans="1:27">
      <c r="A40">
        <v>50</v>
      </c>
      <c r="B40">
        <v>50</v>
      </c>
      <c r="C40">
        <v>50</v>
      </c>
      <c r="D40">
        <v>50</v>
      </c>
      <c r="E40">
        <v>50</v>
      </c>
      <c r="I40">
        <v>35</v>
      </c>
      <c r="K40">
        <v>35</v>
      </c>
      <c r="M40"/>
      <c r="N40">
        <v>35</v>
      </c>
      <c r="O40">
        <v>35</v>
      </c>
    </row>
    <row r="41" spans="1:27">
      <c r="A41">
        <v>55</v>
      </c>
      <c r="B41">
        <v>55</v>
      </c>
      <c r="C41">
        <v>55</v>
      </c>
      <c r="D41">
        <v>55</v>
      </c>
      <c r="E41">
        <v>55</v>
      </c>
      <c r="M41"/>
    </row>
    <row r="42" spans="1:27">
      <c r="A42">
        <v>60</v>
      </c>
      <c r="B42">
        <v>60</v>
      </c>
      <c r="C42">
        <v>60</v>
      </c>
      <c r="D42">
        <v>60</v>
      </c>
      <c r="E42">
        <v>60</v>
      </c>
      <c r="M42"/>
    </row>
    <row r="43" spans="1:27">
      <c r="A43">
        <v>65</v>
      </c>
      <c r="B43">
        <v>65</v>
      </c>
      <c r="C43">
        <v>65</v>
      </c>
      <c r="D43">
        <v>65</v>
      </c>
      <c r="E43">
        <v>65</v>
      </c>
      <c r="M43"/>
    </row>
    <row r="44" spans="1:27">
      <c r="A44">
        <v>70</v>
      </c>
      <c r="B44">
        <v>70</v>
      </c>
      <c r="C44">
        <v>70</v>
      </c>
      <c r="D44">
        <v>70</v>
      </c>
      <c r="E44">
        <v>70</v>
      </c>
      <c r="M44"/>
    </row>
    <row r="45" spans="1:27">
      <c r="A45">
        <v>75</v>
      </c>
      <c r="B45">
        <v>75</v>
      </c>
      <c r="C45">
        <v>75</v>
      </c>
      <c r="D45">
        <v>75</v>
      </c>
      <c r="E45">
        <v>75</v>
      </c>
      <c r="M45"/>
    </row>
    <row r="46" spans="1:27">
      <c r="A46">
        <v>80</v>
      </c>
      <c r="B46">
        <v>80</v>
      </c>
      <c r="C46">
        <v>80</v>
      </c>
      <c r="D46">
        <v>80</v>
      </c>
      <c r="E46">
        <v>80</v>
      </c>
      <c r="M46"/>
    </row>
    <row r="47" spans="1:27">
      <c r="A47">
        <v>85</v>
      </c>
      <c r="B47">
        <v>85</v>
      </c>
      <c r="C47">
        <v>85</v>
      </c>
      <c r="D47">
        <v>85</v>
      </c>
      <c r="E47">
        <v>85</v>
      </c>
      <c r="M47"/>
    </row>
    <row r="48" spans="1:27">
      <c r="A48">
        <v>90</v>
      </c>
      <c r="B48">
        <v>90</v>
      </c>
      <c r="C48">
        <v>90</v>
      </c>
      <c r="D48">
        <v>90</v>
      </c>
      <c r="E48">
        <v>90</v>
      </c>
      <c r="M48"/>
    </row>
    <row r="49" spans="1:13">
      <c r="A49">
        <v>95</v>
      </c>
      <c r="B49">
        <v>95</v>
      </c>
      <c r="C49">
        <v>95</v>
      </c>
      <c r="D49">
        <v>95</v>
      </c>
      <c r="E49">
        <v>95</v>
      </c>
      <c r="M49"/>
    </row>
    <row r="50" spans="1:13">
      <c r="A50">
        <v>100</v>
      </c>
      <c r="B50">
        <v>100</v>
      </c>
      <c r="C50">
        <v>100</v>
      </c>
      <c r="D50">
        <v>100</v>
      </c>
      <c r="E50">
        <v>100</v>
      </c>
      <c r="M50"/>
    </row>
    <row r="51" spans="1:13">
      <c r="A51">
        <v>105</v>
      </c>
      <c r="B51">
        <v>105</v>
      </c>
      <c r="C51">
        <v>105</v>
      </c>
      <c r="D51">
        <v>105</v>
      </c>
      <c r="E51">
        <v>105</v>
      </c>
      <c r="M51"/>
    </row>
    <row r="52" spans="1:13">
      <c r="A52">
        <v>110</v>
      </c>
      <c r="B52">
        <v>110</v>
      </c>
      <c r="C52">
        <v>110</v>
      </c>
      <c r="D52">
        <v>110</v>
      </c>
      <c r="E52">
        <v>110</v>
      </c>
      <c r="M52"/>
    </row>
    <row r="53" spans="1:13">
      <c r="A53">
        <v>115</v>
      </c>
      <c r="B53">
        <v>115</v>
      </c>
      <c r="C53">
        <v>115</v>
      </c>
      <c r="D53">
        <v>115</v>
      </c>
      <c r="E53">
        <v>115</v>
      </c>
      <c r="M53"/>
    </row>
    <row r="54" spans="1:13">
      <c r="A54">
        <v>120</v>
      </c>
      <c r="B54">
        <v>120</v>
      </c>
      <c r="C54">
        <v>120</v>
      </c>
      <c r="D54">
        <v>120</v>
      </c>
      <c r="E54">
        <v>120</v>
      </c>
      <c r="M54"/>
    </row>
    <row r="55" spans="1:13">
      <c r="A55">
        <v>125</v>
      </c>
      <c r="B55">
        <v>125</v>
      </c>
      <c r="C55">
        <v>125</v>
      </c>
      <c r="D55">
        <v>125</v>
      </c>
      <c r="E55">
        <v>125</v>
      </c>
      <c r="M55"/>
    </row>
    <row r="56" spans="1:13">
      <c r="A56">
        <v>130</v>
      </c>
      <c r="B56">
        <v>130</v>
      </c>
      <c r="C56">
        <v>130</v>
      </c>
      <c r="D56">
        <v>130</v>
      </c>
      <c r="E56">
        <v>130</v>
      </c>
      <c r="M56"/>
    </row>
    <row r="57" spans="1:13">
      <c r="A57">
        <v>135</v>
      </c>
      <c r="B57">
        <v>135</v>
      </c>
      <c r="C57">
        <v>135</v>
      </c>
      <c r="D57">
        <v>135</v>
      </c>
      <c r="E57">
        <v>135</v>
      </c>
      <c r="M57"/>
    </row>
    <row r="58" spans="1:13">
      <c r="A58">
        <v>140</v>
      </c>
      <c r="B58">
        <v>140</v>
      </c>
      <c r="C58">
        <v>140</v>
      </c>
      <c r="D58">
        <v>140</v>
      </c>
      <c r="E58">
        <v>140</v>
      </c>
      <c r="M58"/>
    </row>
    <row r="59" spans="1:13">
      <c r="A59">
        <v>145</v>
      </c>
      <c r="B59">
        <v>145</v>
      </c>
      <c r="C59">
        <v>145</v>
      </c>
      <c r="D59">
        <v>145</v>
      </c>
      <c r="E59">
        <v>145</v>
      </c>
      <c r="M59"/>
    </row>
    <row r="60" spans="1:13">
      <c r="A60">
        <v>150</v>
      </c>
      <c r="B60">
        <v>150</v>
      </c>
      <c r="C60">
        <v>150</v>
      </c>
      <c r="D60">
        <v>150</v>
      </c>
      <c r="E60">
        <v>150</v>
      </c>
      <c r="M60"/>
    </row>
    <row r="61" spans="1:13">
      <c r="A61">
        <v>155</v>
      </c>
      <c r="B61">
        <v>155</v>
      </c>
      <c r="C61">
        <v>155</v>
      </c>
      <c r="D61">
        <v>155</v>
      </c>
      <c r="E61">
        <v>155</v>
      </c>
      <c r="M61"/>
    </row>
    <row r="62" spans="1:13">
      <c r="A62">
        <v>160</v>
      </c>
      <c r="B62">
        <v>160</v>
      </c>
      <c r="C62">
        <v>160</v>
      </c>
      <c r="D62">
        <v>160</v>
      </c>
      <c r="E62">
        <v>160</v>
      </c>
      <c r="M62"/>
    </row>
    <row r="63" spans="1:13">
      <c r="A63">
        <v>165</v>
      </c>
      <c r="B63">
        <v>165</v>
      </c>
      <c r="C63">
        <v>165</v>
      </c>
      <c r="D63">
        <v>165</v>
      </c>
      <c r="E63">
        <v>165</v>
      </c>
      <c r="M63"/>
    </row>
    <row r="64" spans="1:13">
      <c r="A64">
        <v>170</v>
      </c>
      <c r="B64">
        <v>170</v>
      </c>
      <c r="C64">
        <v>170</v>
      </c>
      <c r="D64">
        <v>170</v>
      </c>
      <c r="E64">
        <v>170</v>
      </c>
      <c r="M64"/>
    </row>
    <row r="65" spans="1:18">
      <c r="A65">
        <v>175</v>
      </c>
      <c r="B65">
        <v>175</v>
      </c>
      <c r="C65">
        <v>175</v>
      </c>
      <c r="D65">
        <v>175</v>
      </c>
      <c r="E65">
        <v>175</v>
      </c>
      <c r="M65"/>
    </row>
    <row r="66" spans="1:18">
      <c r="A66">
        <v>180</v>
      </c>
      <c r="B66">
        <v>180</v>
      </c>
      <c r="C66">
        <v>180</v>
      </c>
      <c r="D66">
        <v>180</v>
      </c>
      <c r="E66">
        <v>180</v>
      </c>
      <c r="M66"/>
    </row>
    <row r="67" spans="1:18">
      <c r="A67">
        <v>185</v>
      </c>
      <c r="B67">
        <v>185</v>
      </c>
      <c r="C67">
        <v>185</v>
      </c>
      <c r="D67">
        <v>185</v>
      </c>
      <c r="E67">
        <v>185</v>
      </c>
      <c r="M67"/>
    </row>
    <row r="68" spans="1:18">
      <c r="A68">
        <v>190</v>
      </c>
      <c r="B68">
        <v>190</v>
      </c>
      <c r="C68">
        <v>190</v>
      </c>
      <c r="D68">
        <v>190</v>
      </c>
      <c r="E68">
        <v>190</v>
      </c>
      <c r="M68"/>
    </row>
    <row r="69" spans="1:18">
      <c r="A69">
        <v>195</v>
      </c>
      <c r="B69">
        <v>195</v>
      </c>
      <c r="C69">
        <v>195</v>
      </c>
      <c r="D69">
        <v>195</v>
      </c>
      <c r="E69">
        <v>195</v>
      </c>
      <c r="M69"/>
    </row>
    <row r="70" spans="1:18">
      <c r="A70">
        <v>200</v>
      </c>
      <c r="B70">
        <v>200</v>
      </c>
      <c r="C70">
        <v>200</v>
      </c>
      <c r="D70">
        <v>200</v>
      </c>
      <c r="E70">
        <v>200</v>
      </c>
      <c r="M70"/>
    </row>
    <row r="71" spans="1:18">
      <c r="A71">
        <v>205</v>
      </c>
      <c r="B71">
        <v>205</v>
      </c>
      <c r="C71">
        <v>205</v>
      </c>
      <c r="D71">
        <v>205</v>
      </c>
      <c r="E71">
        <v>205</v>
      </c>
      <c r="M71"/>
    </row>
    <row r="72" spans="1:18">
      <c r="A72">
        <v>210</v>
      </c>
      <c r="B72">
        <v>210</v>
      </c>
      <c r="C72">
        <v>210</v>
      </c>
      <c r="D72">
        <v>210</v>
      </c>
      <c r="E72">
        <v>210</v>
      </c>
      <c r="M72"/>
    </row>
    <row r="73" spans="1:18">
      <c r="A73">
        <v>215</v>
      </c>
      <c r="B73">
        <v>215</v>
      </c>
      <c r="C73">
        <v>215</v>
      </c>
      <c r="D73">
        <v>215</v>
      </c>
      <c r="E73">
        <v>215</v>
      </c>
      <c r="M73"/>
    </row>
    <row r="74" spans="1:18">
      <c r="A74">
        <v>220</v>
      </c>
      <c r="B74">
        <v>220</v>
      </c>
      <c r="C74">
        <v>220</v>
      </c>
      <c r="D74">
        <v>220</v>
      </c>
      <c r="E74">
        <v>220</v>
      </c>
      <c r="M74"/>
    </row>
    <row r="76" spans="1:18">
      <c r="A76" s="340" t="s">
        <v>104</v>
      </c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1"/>
      <c r="O76" s="341"/>
      <c r="P76" s="341"/>
      <c r="Q76" s="341"/>
      <c r="R76" s="341"/>
    </row>
    <row r="77" spans="1:18">
      <c r="A77" s="340"/>
      <c r="B77" s="340"/>
      <c r="C77" s="340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1"/>
      <c r="O77" s="341"/>
      <c r="P77" s="341"/>
      <c r="Q77" s="341"/>
      <c r="R77" s="341"/>
    </row>
    <row r="79" spans="1:18">
      <c r="A79" s="414" t="s">
        <v>32</v>
      </c>
      <c r="B79" s="282">
        <f>+[1]Tela!$C$3</f>
        <v>399</v>
      </c>
      <c r="C79"/>
      <c r="F79" t="s">
        <v>105</v>
      </c>
      <c r="G79" t="s">
        <v>106</v>
      </c>
    </row>
    <row r="81" spans="1:18">
      <c r="A81" s="415" t="s">
        <v>107</v>
      </c>
      <c r="B81" s="415"/>
      <c r="C81" s="415"/>
      <c r="D81" s="415"/>
      <c r="E81" s="415"/>
      <c r="F81" s="415"/>
      <c r="G81" s="415"/>
      <c r="H81" s="415"/>
      <c r="I81" s="415"/>
      <c r="J81" s="415"/>
      <c r="K81" s="416"/>
      <c r="L81" s="416"/>
      <c r="M81" s="416"/>
      <c r="N81" s="416"/>
      <c r="O81" s="416"/>
      <c r="P81" s="416"/>
      <c r="Q81" s="416"/>
      <c r="R81" s="416"/>
    </row>
    <row r="82" spans="1:18">
      <c r="A82" s="417" t="s">
        <v>108</v>
      </c>
      <c r="B82" s="417"/>
      <c r="C82" s="417"/>
      <c r="D82" s="417"/>
      <c r="E82" s="417"/>
      <c r="F82" s="417"/>
      <c r="G82" s="417"/>
      <c r="H82" s="417"/>
      <c r="I82" s="417"/>
      <c r="J82" s="417"/>
      <c r="K82" s="418"/>
      <c r="L82" s="418"/>
      <c r="M82" s="418"/>
      <c r="N82" s="418"/>
      <c r="O82" s="418"/>
      <c r="P82" s="418"/>
      <c r="Q82" s="418"/>
      <c r="R82" s="418"/>
    </row>
    <row r="83" spans="1:18">
      <c r="A83" s="417" t="s">
        <v>109</v>
      </c>
      <c r="B83" s="417"/>
      <c r="C83" s="417"/>
      <c r="D83" s="417"/>
      <c r="E83" s="417"/>
      <c r="F83" s="417"/>
      <c r="G83" s="417"/>
      <c r="H83" s="417"/>
      <c r="I83" s="417"/>
      <c r="J83" s="417"/>
      <c r="K83" s="418"/>
      <c r="L83" s="418"/>
      <c r="M83" s="418"/>
      <c r="N83" s="418"/>
      <c r="O83" s="418"/>
      <c r="P83" s="417"/>
      <c r="Q83" s="417"/>
      <c r="R83" s="417"/>
    </row>
    <row r="84" spans="1:18">
      <c r="B84"/>
      <c r="C84"/>
      <c r="M84"/>
    </row>
    <row r="85" ht="15.75" spans="1:18">
      <c r="B85" s="417" t="s">
        <v>110</v>
      </c>
      <c r="C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</row>
    <row r="86" ht="15.75" spans="1:18">
      <c r="A86" s="419" t="s">
        <v>111</v>
      </c>
      <c r="B86" s="420" t="s">
        <v>112</v>
      </c>
      <c r="C86" s="421" t="s">
        <v>113</v>
      </c>
      <c r="D86" s="422" t="s">
        <v>114</v>
      </c>
      <c r="E86" s="423" t="s">
        <v>115</v>
      </c>
      <c r="F86" s="424" t="s">
        <v>116</v>
      </c>
      <c r="G86" s="425" t="s">
        <v>117</v>
      </c>
      <c r="H86" s="426" t="s">
        <v>118</v>
      </c>
      <c r="I86" s="427" t="s">
        <v>119</v>
      </c>
      <c r="J86" s="428" t="s">
        <v>120</v>
      </c>
      <c r="L86" s="429" t="str">
        <f>+[1]Produccion!$A$12</f>
        <v>Mangas</v>
      </c>
      <c r="M86"/>
      <c r="N86" s="430" t="s">
        <v>121</v>
      </c>
      <c r="O86" s="431"/>
    </row>
    <row r="87" spans="1:18">
      <c r="A87" t="s">
        <v>122</v>
      </c>
      <c r="B87" s="282">
        <f>+[1]Tintas!$C$15</f>
        <v>18.462</v>
      </c>
      <c r="C87" s="282">
        <f>+[1]Tintas!$C$14</f>
        <v>7.164</v>
      </c>
      <c r="D87" s="282">
        <f>+[1]Tintas!$C$16</f>
        <v>8.256</v>
      </c>
      <c r="E87" s="282">
        <f>+[1]Tintas!$C$20</f>
        <v>5.445</v>
      </c>
      <c r="F87" s="282">
        <f>+[1]Tintas!$C$10</f>
        <v>7.3</v>
      </c>
      <c r="G87" s="282">
        <f>+[1]Tintas!$C$11</f>
        <v>7.035</v>
      </c>
      <c r="H87" s="282">
        <f>+[1]Tintas!$C$9</f>
        <v>6.7</v>
      </c>
      <c r="I87" s="282">
        <f>+[1]Tintas!$C$12</f>
        <v>6.07</v>
      </c>
      <c r="J87" s="432">
        <f>AVERAGE(B87:I87)</f>
        <v>8.304</v>
      </c>
      <c r="L87" s="433">
        <f>+[1]Produccion!$A$13</f>
        <v>35</v>
      </c>
      <c r="M87"/>
      <c r="N87" s="434">
        <f>+[1]Produccion!$C$13</f>
        <v>3</v>
      </c>
      <c r="O87" s="435">
        <f>+[1]Produccion!$D$13</f>
        <v>0.043</v>
      </c>
    </row>
    <row r="88" ht="15.75" spans="1:18">
      <c r="A88" t="s">
        <v>123</v>
      </c>
      <c r="B88" s="436">
        <v>0.11</v>
      </c>
      <c r="C88" s="436">
        <v>0.11</v>
      </c>
      <c r="D88" s="436">
        <v>0.19</v>
      </c>
      <c r="E88" s="436">
        <v>1</v>
      </c>
      <c r="F88" s="436">
        <v>0.23</v>
      </c>
      <c r="G88" s="436">
        <v>0.29</v>
      </c>
      <c r="H88" s="436">
        <v>0.15</v>
      </c>
      <c r="I88" s="436">
        <v>0.11</v>
      </c>
      <c r="J88" s="432"/>
      <c r="L88" s="433">
        <f>+[1]Produccion!$A$14</f>
        <v>36</v>
      </c>
      <c r="M88"/>
      <c r="N88" s="437">
        <f>+[1]Produccion!$C$14</f>
        <v>6</v>
      </c>
      <c r="O88" s="438">
        <f>+[1]Produccion!$D$14</f>
        <v>0.052</v>
      </c>
    </row>
    <row r="89" spans="1:18">
      <c r="A89" t="s">
        <v>124</v>
      </c>
      <c r="B89" s="282">
        <f>+B87*B88</f>
        <v>2.03082</v>
      </c>
      <c r="C89" s="282">
        <f t="shared" ref="C89:I89" si="0">+C87*C88</f>
        <v>0.78804</v>
      </c>
      <c r="D89" s="282">
        <f t="shared" si="0"/>
        <v>1.56864</v>
      </c>
      <c r="E89" s="282">
        <f t="shared" si="0"/>
        <v>5.445</v>
      </c>
      <c r="F89" s="282">
        <f t="shared" si="0"/>
        <v>1.679</v>
      </c>
      <c r="G89" s="282">
        <f t="shared" si="0"/>
        <v>2.04015</v>
      </c>
      <c r="H89" s="282">
        <f t="shared" si="0"/>
        <v>1.005</v>
      </c>
      <c r="I89" s="282">
        <f t="shared" si="0"/>
        <v>0.6677</v>
      </c>
      <c r="J89" s="439">
        <f>SUM(B89:I89)</f>
        <v>15.22435</v>
      </c>
      <c r="L89" s="433">
        <f>+[1]Produccion!$A$15</f>
        <v>38</v>
      </c>
      <c r="M89"/>
    </row>
    <row r="90" spans="1:18">
      <c r="A90" s="440" t="s">
        <v>125</v>
      </c>
      <c r="B90" s="441">
        <f>+[1]Tintas!$C$3</f>
        <v>5.39</v>
      </c>
      <c r="C90" s="442"/>
      <c r="D90" s="442"/>
      <c r="E90" s="442"/>
      <c r="F90" s="442"/>
      <c r="G90" s="442"/>
      <c r="H90" s="442"/>
      <c r="I90" s="442"/>
      <c r="J90" s="432"/>
      <c r="L90" s="433">
        <f>+[1]Produccion!$A$16</f>
        <v>40</v>
      </c>
      <c r="M90"/>
    </row>
    <row r="91" spans="1:18">
      <c r="A91" s="443" t="s">
        <v>123</v>
      </c>
      <c r="B91" s="443"/>
      <c r="C91" s="443"/>
      <c r="D91" s="443"/>
      <c r="E91" s="443"/>
      <c r="F91" s="444">
        <v>0.3</v>
      </c>
      <c r="G91" s="444">
        <v>0.25</v>
      </c>
      <c r="H91" s="443"/>
      <c r="I91" s="444">
        <v>0.3</v>
      </c>
      <c r="J91" s="432"/>
      <c r="L91" s="433">
        <f>+[1]Produccion!$A$17</f>
        <v>42</v>
      </c>
      <c r="M91"/>
    </row>
    <row r="92" spans="1:18">
      <c r="A92" s="443" t="s">
        <v>124</v>
      </c>
      <c r="B92" s="445">
        <f t="shared" ref="B92:I92" si="1">+$B90*B91</f>
        <v>0</v>
      </c>
      <c r="C92" s="445">
        <f t="shared" si="1"/>
        <v>0</v>
      </c>
      <c r="D92" s="445">
        <f t="shared" si="1"/>
        <v>0</v>
      </c>
      <c r="E92" s="445">
        <f t="shared" si="1"/>
        <v>0</v>
      </c>
      <c r="F92" s="445">
        <f t="shared" si="1"/>
        <v>1.617</v>
      </c>
      <c r="G92" s="445">
        <f t="shared" si="1"/>
        <v>1.3475</v>
      </c>
      <c r="H92" s="445">
        <f t="shared" si="1"/>
        <v>0</v>
      </c>
      <c r="I92" s="445">
        <f t="shared" si="1"/>
        <v>1.617</v>
      </c>
      <c r="J92" s="439">
        <f>SUM(B92:I92)</f>
        <v>4.5815</v>
      </c>
      <c r="L92" s="433">
        <f>+[1]Produccion!$A$18</f>
        <v>44</v>
      </c>
      <c r="M92"/>
    </row>
    <row r="93" spans="1:18">
      <c r="A93" s="446" t="s">
        <v>126</v>
      </c>
      <c r="B93" s="447">
        <f>+[1]Diluyente!$C$3</f>
        <v>1.86</v>
      </c>
      <c r="C93" s="447"/>
      <c r="D93" s="447"/>
      <c r="E93" s="447"/>
      <c r="F93" s="448"/>
      <c r="G93" s="447"/>
      <c r="H93" s="447"/>
      <c r="I93" s="447"/>
      <c r="J93" s="432"/>
      <c r="L93" s="433">
        <f>+[1]Produccion!$A$19</f>
        <v>45</v>
      </c>
      <c r="M93"/>
    </row>
    <row r="94" spans="1:18">
      <c r="A94" s="449"/>
      <c r="B94" s="450">
        <v>0.2</v>
      </c>
      <c r="C94" s="450">
        <v>0.2</v>
      </c>
      <c r="D94" s="450">
        <v>0.2</v>
      </c>
      <c r="E94" s="450">
        <v>0.2</v>
      </c>
      <c r="F94" s="450">
        <v>0.2</v>
      </c>
      <c r="G94" s="450">
        <v>0.2</v>
      </c>
      <c r="H94" s="450">
        <v>0.2</v>
      </c>
      <c r="I94" s="450">
        <v>0.2</v>
      </c>
      <c r="J94" s="432"/>
      <c r="L94" s="433">
        <f>+[1]Produccion!$A$20</f>
        <v>47</v>
      </c>
      <c r="M94"/>
    </row>
    <row r="95" spans="1:18">
      <c r="A95" s="449"/>
      <c r="B95" s="451">
        <f t="shared" ref="B95:I95" si="2">+$B93*B94</f>
        <v>0.372</v>
      </c>
      <c r="C95" s="451">
        <f t="shared" si="2"/>
        <v>0.372</v>
      </c>
      <c r="D95" s="451">
        <f t="shared" si="2"/>
        <v>0.372</v>
      </c>
      <c r="E95" s="451">
        <f t="shared" si="2"/>
        <v>0.372</v>
      </c>
      <c r="F95" s="451">
        <f t="shared" si="2"/>
        <v>0.372</v>
      </c>
      <c r="G95" s="451">
        <f t="shared" si="2"/>
        <v>0.372</v>
      </c>
      <c r="H95" s="451">
        <f t="shared" si="2"/>
        <v>0.372</v>
      </c>
      <c r="I95" s="451">
        <f t="shared" si="2"/>
        <v>0.372</v>
      </c>
      <c r="J95" s="439">
        <f>SUM(B95:I95)</f>
        <v>2.976</v>
      </c>
      <c r="L95" s="433">
        <f>+[1]Produccion!$A$21</f>
        <v>48</v>
      </c>
      <c r="M95"/>
    </row>
    <row r="96" spans="1:18">
      <c r="A96" s="452" t="s">
        <v>127</v>
      </c>
      <c r="B96" s="453">
        <f t="shared" ref="B96" si="3">(B89*(100%-(B91+B94)))+B92+B95</f>
        <v>1.996656</v>
      </c>
      <c r="C96" s="453">
        <f t="shared" ref="C96" si="4">(C89*(100%-(C91+C94)))+C92+C95</f>
        <v>1.002432</v>
      </c>
      <c r="D96" s="453">
        <f t="shared" ref="D96" si="5">(D89*(100%-(D91+D94)))+D92+D95</f>
        <v>1.626912</v>
      </c>
      <c r="E96" s="453">
        <f t="shared" ref="E96" si="6">(E89*(100%-(E91+E94)))+E92+E95</f>
        <v>4.728</v>
      </c>
      <c r="F96" s="453">
        <f t="shared" ref="F96" si="7">(F89*(100%-(F91+F94)))+F92+F95</f>
        <v>2.8285</v>
      </c>
      <c r="G96" s="453">
        <f t="shared" ref="G96:I96" si="8">(G89*(100%-(G91+G94)))+G92+G95</f>
        <v>2.8415825</v>
      </c>
      <c r="H96" s="453">
        <f t="shared" si="8"/>
        <v>1.176</v>
      </c>
      <c r="I96" s="453">
        <f t="shared" si="8"/>
        <v>2.32285</v>
      </c>
      <c r="J96" s="454">
        <f>SUM(B96:I96)</f>
        <v>18.5229325</v>
      </c>
      <c r="L96" s="433">
        <f>+[1]Produccion!$A$22</f>
        <v>50</v>
      </c>
      <c r="M96"/>
    </row>
    <row r="97" spans="1:13">
      <c r="B97" s="455">
        <f t="shared" ref="B97:E97" si="9">+B96*4/1000</f>
        <v>0.007986624</v>
      </c>
      <c r="C97" s="455">
        <f t="shared" si="9"/>
        <v>0.004009728</v>
      </c>
      <c r="D97" s="455">
        <f t="shared" si="9"/>
        <v>0.006507648</v>
      </c>
      <c r="E97" s="455">
        <f t="shared" si="9"/>
        <v>0.018912</v>
      </c>
      <c r="F97" s="455">
        <f t="shared" ref="F97:I97" si="10">+F96*4/1000</f>
        <v>0.011314</v>
      </c>
      <c r="G97" s="455">
        <f t="shared" si="10"/>
        <v>0.01136633</v>
      </c>
      <c r="H97" s="455">
        <f t="shared" si="10"/>
        <v>0.004704</v>
      </c>
      <c r="I97" s="455">
        <f t="shared" si="10"/>
        <v>0.0092914</v>
      </c>
      <c r="J97" s="432">
        <f>AVERAGE(B97:I97)</f>
        <v>0.00926146625</v>
      </c>
      <c r="L97" s="433">
        <f>+[1]Produccion!$A$23</f>
        <v>52</v>
      </c>
      <c r="M97"/>
    </row>
    <row r="98" spans="1:13">
      <c r="B98"/>
      <c r="C98"/>
      <c r="L98" s="433">
        <f>+[1]Produccion!$A$24</f>
        <v>54</v>
      </c>
      <c r="M98"/>
    </row>
    <row r="99" spans="1:13">
      <c r="A99" s="456" t="s">
        <v>128</v>
      </c>
      <c r="B99" s="457">
        <f>+[1]Diluyente!$C$18</f>
        <v>1.25</v>
      </c>
      <c r="C99" s="457"/>
      <c r="D99" s="457"/>
      <c r="E99" s="457"/>
      <c r="F99" s="457"/>
      <c r="G99" s="457"/>
      <c r="H99" s="457"/>
      <c r="I99" s="457"/>
      <c r="J99" s="457"/>
      <c r="L99" s="433">
        <f>+[1]Produccion!$A$25</f>
        <v>56</v>
      </c>
      <c r="M99"/>
    </row>
    <row r="100" spans="1:13">
      <c r="A100" s="458" t="s">
        <v>129</v>
      </c>
      <c r="B100" s="457">
        <f>0.9*2</f>
        <v>1.8</v>
      </c>
      <c r="C100" s="457"/>
      <c r="D100" s="457"/>
      <c r="E100" s="457"/>
      <c r="F100" s="457"/>
      <c r="G100" s="457"/>
      <c r="H100" s="457"/>
      <c r="I100" s="457"/>
      <c r="J100" s="457"/>
      <c r="L100" s="433">
        <f>+[1]Produccion!$A$26</f>
        <v>58</v>
      </c>
      <c r="M100"/>
    </row>
    <row r="101" spans="1:13">
      <c r="A101" s="457"/>
      <c r="B101" s="459">
        <f>+[1]Diluyente!$C$5</f>
        <v>2.09</v>
      </c>
      <c r="C101" s="457"/>
      <c r="D101" s="457"/>
      <c r="E101" s="457"/>
      <c r="F101" s="457"/>
      <c r="G101" s="457"/>
      <c r="H101" s="457"/>
      <c r="I101" s="457"/>
      <c r="J101" s="457"/>
      <c r="L101" s="433">
        <f>+[1]Produccion!$A$27</f>
        <v>60</v>
      </c>
      <c r="M101"/>
    </row>
    <row r="102" spans="1:13">
      <c r="A102" s="457">
        <f>20/2</f>
        <v>10</v>
      </c>
      <c r="B102" s="457">
        <f>+B101*$A102</f>
        <v>20.9</v>
      </c>
      <c r="C102" s="457"/>
      <c r="D102" s="457"/>
      <c r="E102" s="457"/>
      <c r="F102" s="457"/>
      <c r="G102" s="457"/>
      <c r="H102" s="457"/>
      <c r="I102" s="457"/>
      <c r="J102" s="457"/>
      <c r="L102" s="433">
        <f>+[1]Produccion!$A$28</f>
        <v>64</v>
      </c>
      <c r="M102"/>
    </row>
    <row r="103" spans="1:13">
      <c r="B103"/>
      <c r="C103"/>
      <c r="L103" s="433">
        <f>+[1]Produccion!$A$29</f>
        <v>66</v>
      </c>
      <c r="M103"/>
    </row>
    <row r="104" spans="1:13">
      <c r="L104" s="433">
        <f>+[1]Produccion!$A$30</f>
        <v>70</v>
      </c>
    </row>
    <row r="105" spans="1:13">
      <c r="A105" t="s">
        <v>130</v>
      </c>
      <c r="B105"/>
      <c r="C105" t="s">
        <v>131</v>
      </c>
      <c r="F105" s="460" t="s">
        <v>132</v>
      </c>
      <c r="G105" s="460"/>
      <c r="H105" s="460"/>
      <c r="I105" s="460"/>
      <c r="L105" s="461">
        <f>+[1]Produccion!$A$31</f>
        <v>74</v>
      </c>
    </row>
    <row r="106" ht="15.75" spans="1:13">
      <c r="A106" s="419" t="s">
        <v>111</v>
      </c>
      <c r="B106" s="462">
        <v>318</v>
      </c>
      <c r="C106" s="463">
        <v>485</v>
      </c>
      <c r="D106" s="464">
        <v>308</v>
      </c>
      <c r="E106" s="423" t="s">
        <v>115</v>
      </c>
      <c r="F106" s="424" t="s">
        <v>116</v>
      </c>
      <c r="G106" s="425" t="s">
        <v>117</v>
      </c>
      <c r="H106" s="426" t="s">
        <v>118</v>
      </c>
      <c r="I106" s="427" t="s">
        <v>119</v>
      </c>
      <c r="J106" s="428" t="s">
        <v>120</v>
      </c>
      <c r="L106" s="465">
        <f>+[1]Produccion!$A$32</f>
        <v>80</v>
      </c>
    </row>
    <row r="107" spans="1:13">
      <c r="A107" t="s">
        <v>122</v>
      </c>
      <c r="B107" s="282">
        <f>+(+D87*6%)+(F87*6%)</f>
        <v>0.93336</v>
      </c>
      <c r="C107" s="282">
        <f>+(+G87*50%)+(H87*50%)</f>
        <v>6.8675</v>
      </c>
      <c r="D107" s="282">
        <f>+(+F87*94%)+(I87*6%)</f>
        <v>7.2262</v>
      </c>
      <c r="E107" s="282">
        <f>+E87</f>
        <v>5.445</v>
      </c>
      <c r="F107" s="282">
        <f>+[1]Tintas!$C$6</f>
        <v>7.3</v>
      </c>
      <c r="G107" s="282">
        <f>+[1]Tintas!$C$7</f>
        <v>7.035</v>
      </c>
      <c r="H107" s="282">
        <f>+[1]Tintas!$C$5</f>
        <v>6.7</v>
      </c>
      <c r="I107" s="282">
        <f>+[1]Tintas!$C$8</f>
        <v>6.07</v>
      </c>
      <c r="J107" s="432">
        <f>AVERAGE(B107:I107)</f>
        <v>5.9471325</v>
      </c>
    </row>
    <row r="108" spans="1:13">
      <c r="A108" t="s">
        <v>123</v>
      </c>
      <c r="B108" s="436">
        <v>0.636</v>
      </c>
      <c r="C108" s="436">
        <v>0.171</v>
      </c>
      <c r="D108" s="436">
        <v>0.301</v>
      </c>
      <c r="E108" s="436">
        <v>0.9685</v>
      </c>
      <c r="F108" s="436">
        <v>0.151</v>
      </c>
      <c r="G108" s="436">
        <v>0.261</v>
      </c>
      <c r="H108" s="436">
        <v>0.654</v>
      </c>
      <c r="I108" s="436">
        <v>0.283</v>
      </c>
      <c r="J108" s="432"/>
    </row>
    <row r="109" spans="1:13">
      <c r="A109" t="s">
        <v>124</v>
      </c>
      <c r="B109" s="282">
        <f>+B107*B108</f>
        <v>0.59361696</v>
      </c>
      <c r="C109" s="282">
        <f t="shared" ref="C109:I109" si="11">+C107*C108</f>
        <v>1.1743425</v>
      </c>
      <c r="D109" s="282">
        <f t="shared" si="11"/>
        <v>2.1750862</v>
      </c>
      <c r="E109" s="282">
        <f t="shared" si="11"/>
        <v>5.2734825</v>
      </c>
      <c r="F109" s="282">
        <f t="shared" si="11"/>
        <v>1.1023</v>
      </c>
      <c r="G109" s="282">
        <f t="shared" si="11"/>
        <v>1.836135</v>
      </c>
      <c r="H109" s="282">
        <f t="shared" si="11"/>
        <v>4.3818</v>
      </c>
      <c r="I109" s="282">
        <f t="shared" si="11"/>
        <v>1.71781</v>
      </c>
      <c r="J109" s="439">
        <f>SUM(B109:I109)</f>
        <v>18.25457316</v>
      </c>
    </row>
    <row r="110" spans="1:13">
      <c r="A110" s="440" t="s">
        <v>125</v>
      </c>
      <c r="B110" s="441">
        <f>+[1]Tintas!$C$3</f>
        <v>5.39</v>
      </c>
      <c r="C110" s="442"/>
      <c r="D110" s="442"/>
      <c r="E110" s="442"/>
      <c r="F110" s="442"/>
      <c r="G110" s="442"/>
      <c r="H110" s="442"/>
      <c r="I110" s="442"/>
      <c r="J110" s="432"/>
    </row>
    <row r="111" spans="1:13">
      <c r="A111" s="443" t="s">
        <v>123</v>
      </c>
      <c r="B111" s="444">
        <v>0.88</v>
      </c>
      <c r="C111" s="444">
        <v>0</v>
      </c>
      <c r="D111" s="444">
        <v>0</v>
      </c>
      <c r="E111" s="444">
        <v>0</v>
      </c>
      <c r="F111" s="444">
        <v>0</v>
      </c>
      <c r="G111" s="444">
        <v>0</v>
      </c>
      <c r="H111" s="444">
        <v>0</v>
      </c>
      <c r="I111" s="444">
        <v>0</v>
      </c>
      <c r="J111" s="432"/>
    </row>
    <row r="112" spans="1:13">
      <c r="A112" s="443" t="s">
        <v>124</v>
      </c>
      <c r="B112" s="445">
        <f t="shared" ref="B112:I112" si="12">+$B110*B111</f>
        <v>4.7432</v>
      </c>
      <c r="C112" s="445">
        <f t="shared" si="12"/>
        <v>0</v>
      </c>
      <c r="D112" s="445">
        <f t="shared" si="12"/>
        <v>0</v>
      </c>
      <c r="E112" s="445">
        <f t="shared" si="12"/>
        <v>0</v>
      </c>
      <c r="F112" s="445">
        <f t="shared" si="12"/>
        <v>0</v>
      </c>
      <c r="G112" s="445">
        <f t="shared" si="12"/>
        <v>0</v>
      </c>
      <c r="H112" s="445">
        <f t="shared" si="12"/>
        <v>0</v>
      </c>
      <c r="I112" s="445">
        <f t="shared" si="12"/>
        <v>0</v>
      </c>
      <c r="J112" s="439">
        <f>SUM(B112:I112)</f>
        <v>4.7432</v>
      </c>
    </row>
    <row r="113" spans="1:18">
      <c r="A113" s="446" t="s">
        <v>126</v>
      </c>
      <c r="B113" s="447">
        <f>+B93</f>
        <v>1.86</v>
      </c>
      <c r="C113" s="447"/>
      <c r="D113" s="447"/>
      <c r="E113" s="447"/>
      <c r="F113" s="448"/>
      <c r="G113" s="447"/>
      <c r="H113" s="447"/>
      <c r="I113" s="447"/>
      <c r="J113" s="432"/>
    </row>
    <row r="114" spans="1:18">
      <c r="A114" s="449"/>
      <c r="B114" s="450">
        <v>0.2</v>
      </c>
      <c r="C114" s="450">
        <v>0.2</v>
      </c>
      <c r="D114" s="450">
        <v>0.2</v>
      </c>
      <c r="E114" s="450">
        <v>0.2</v>
      </c>
      <c r="F114" s="450">
        <v>0.2</v>
      </c>
      <c r="G114" s="450">
        <v>0.2</v>
      </c>
      <c r="H114" s="450">
        <v>0.2</v>
      </c>
      <c r="I114" s="450">
        <v>0.2</v>
      </c>
      <c r="J114" s="432"/>
    </row>
    <row r="115" spans="1:18">
      <c r="A115" s="449"/>
      <c r="B115" s="451">
        <f t="shared" ref="B115:I115" si="13">+$B113*B114</f>
        <v>0.372</v>
      </c>
      <c r="C115" s="451">
        <f t="shared" si="13"/>
        <v>0.372</v>
      </c>
      <c r="D115" s="451">
        <f t="shared" si="13"/>
        <v>0.372</v>
      </c>
      <c r="E115" s="451">
        <f t="shared" si="13"/>
        <v>0.372</v>
      </c>
      <c r="F115" s="451">
        <f t="shared" si="13"/>
        <v>0.372</v>
      </c>
      <c r="G115" s="451">
        <f t="shared" si="13"/>
        <v>0.372</v>
      </c>
      <c r="H115" s="451">
        <f t="shared" si="13"/>
        <v>0.372</v>
      </c>
      <c r="I115" s="451">
        <f t="shared" si="13"/>
        <v>0.372</v>
      </c>
      <c r="J115" s="439">
        <f>SUM(B115:I115)</f>
        <v>2.976</v>
      </c>
    </row>
    <row r="116" spans="1:18">
      <c r="A116" s="452" t="s">
        <v>127</v>
      </c>
      <c r="B116" s="453">
        <f>(B109*(100%-B114-B111)+(B115*B108))</f>
        <v>0.1891026432</v>
      </c>
      <c r="C116" s="453">
        <f>(C109*(100%-C114-C111)+(C115*C108))</f>
        <v>1.003086</v>
      </c>
      <c r="D116" s="453">
        <f t="shared" ref="D116:I116" si="14">(D109*(100%-D114-D111)+(D115*D108))</f>
        <v>1.85204096</v>
      </c>
      <c r="E116" s="453">
        <f t="shared" si="14"/>
        <v>4.579068</v>
      </c>
      <c r="F116" s="453">
        <f t="shared" si="14"/>
        <v>0.938012</v>
      </c>
      <c r="G116" s="453">
        <f t="shared" si="14"/>
        <v>1.566</v>
      </c>
      <c r="H116" s="453">
        <f t="shared" si="14"/>
        <v>3.748728</v>
      </c>
      <c r="I116" s="453">
        <f t="shared" si="14"/>
        <v>1.479524</v>
      </c>
      <c r="J116" s="454">
        <f>SUM(B116:I116)</f>
        <v>15.3555616032</v>
      </c>
    </row>
    <row r="119" spans="1:18">
      <c r="A119" s="340" t="s">
        <v>133</v>
      </c>
      <c r="B119" s="340"/>
      <c r="C119" s="340"/>
      <c r="D119" s="340"/>
      <c r="E119" s="340"/>
      <c r="F119" s="340"/>
      <c r="G119" s="340"/>
      <c r="H119" s="340"/>
      <c r="I119" s="340"/>
      <c r="J119" s="340"/>
      <c r="K119" s="340"/>
      <c r="L119" s="340"/>
      <c r="M119" s="340"/>
      <c r="N119" s="341"/>
      <c r="O119" s="341"/>
      <c r="P119" s="341"/>
      <c r="Q119" s="341"/>
      <c r="R119" s="341"/>
    </row>
    <row r="120" spans="1:18">
      <c r="A120" s="340"/>
      <c r="B120" s="340"/>
      <c r="C120" s="340"/>
      <c r="D120" s="340"/>
      <c r="E120" s="340"/>
      <c r="F120" s="340"/>
      <c r="G120" s="340"/>
      <c r="H120" s="340"/>
      <c r="I120" s="340"/>
      <c r="J120" s="340"/>
      <c r="K120" s="340"/>
      <c r="L120" s="340"/>
      <c r="M120" s="340"/>
      <c r="N120" s="341"/>
      <c r="O120" s="341"/>
      <c r="P120" s="341"/>
      <c r="Q120" s="341"/>
      <c r="R120" s="341"/>
    </row>
    <row r="121" spans="1:18">
      <c r="F121" t="s">
        <v>105</v>
      </c>
      <c r="G121" t="s">
        <v>106</v>
      </c>
      <c r="H121" t="s">
        <v>134</v>
      </c>
    </row>
    <row r="122" spans="1:18">
      <c r="A122" s="341" t="s">
        <v>135</v>
      </c>
      <c r="B122" s="466">
        <f>+[1]Adhesivos!$D$3</f>
        <v>2</v>
      </c>
    </row>
    <row r="123" spans="1:18">
      <c r="A123" s="456" t="s">
        <v>136</v>
      </c>
      <c r="B123" s="459">
        <f>+[1]Adhesivos!$C$4</f>
        <v>9.9</v>
      </c>
      <c r="C123" s="467">
        <f>+[1]Adhesivos!$D$4</f>
        <v>0.63</v>
      </c>
      <c r="D123" s="457"/>
      <c r="E123" s="457"/>
      <c r="F123" s="457"/>
      <c r="G123" s="457"/>
      <c r="H123" s="457"/>
      <c r="I123" s="457"/>
      <c r="J123" s="457"/>
    </row>
    <row r="124" spans="1:18">
      <c r="A124" s="456" t="s">
        <v>137</v>
      </c>
      <c r="B124" s="459">
        <f>+[1]Adhesivos!$C$5</f>
        <v>9.9</v>
      </c>
      <c r="C124" s="467">
        <f>+[1]Adhesivos!$D$5</f>
        <v>0.37</v>
      </c>
      <c r="D124" s="457"/>
      <c r="E124" s="457"/>
      <c r="F124" s="457"/>
      <c r="G124" s="457"/>
      <c r="H124" s="457"/>
      <c r="I124" s="457"/>
      <c r="J124" s="457"/>
    </row>
    <row r="126" spans="1:18">
      <c r="A126" s="341" t="s">
        <v>138</v>
      </c>
      <c r="B126" s="466">
        <f>+[1]Adhesivos!$D$10</f>
        <v>4</v>
      </c>
    </row>
    <row r="127" spans="1:18">
      <c r="A127" s="456" t="s">
        <v>136</v>
      </c>
      <c r="B127" s="459">
        <f>+[1]Adhesivos!$E$15</f>
        <v>11.13</v>
      </c>
      <c r="C127" s="467"/>
      <c r="D127" s="457"/>
      <c r="E127" s="457"/>
      <c r="F127" s="457"/>
      <c r="G127" s="457"/>
      <c r="H127" s="457"/>
      <c r="I127" s="457"/>
      <c r="J127" s="457"/>
    </row>
    <row r="130" spans="1:27">
      <c r="A130" s="340" t="s">
        <v>139</v>
      </c>
      <c r="B130" s="340"/>
      <c r="C130" s="340"/>
      <c r="D130" s="340"/>
      <c r="E130" s="340"/>
      <c r="F130" s="340"/>
      <c r="G130" s="340"/>
      <c r="H130" s="340"/>
      <c r="I130" s="340"/>
      <c r="J130" s="340"/>
      <c r="K130" s="340"/>
      <c r="L130" s="340"/>
      <c r="M130" s="340"/>
      <c r="N130" s="341"/>
      <c r="O130" s="341"/>
      <c r="P130" s="341"/>
      <c r="Q130" s="341"/>
      <c r="R130" s="341"/>
    </row>
    <row r="131" spans="1:27">
      <c r="A131" s="340"/>
      <c r="B131" s="340"/>
      <c r="C131" s="340"/>
      <c r="D131" s="340"/>
      <c r="E131" s="340"/>
      <c r="F131" s="340"/>
      <c r="G131" s="340"/>
      <c r="H131" s="340"/>
      <c r="I131" s="340"/>
      <c r="J131" s="340"/>
      <c r="K131" s="340"/>
      <c r="L131" s="340"/>
      <c r="M131" s="340"/>
      <c r="N131" s="341"/>
      <c r="O131" s="341"/>
      <c r="P131" s="341"/>
      <c r="Q131" s="341"/>
      <c r="R131" s="341"/>
    </row>
    <row r="132" spans="1:27">
      <c r="A132" t="s">
        <v>140</v>
      </c>
      <c r="B132" s="468">
        <f>+'[1]Zipper y Picos'!$D$3</f>
        <v>0.0429042904290429</v>
      </c>
      <c r="D132" t="s">
        <v>10</v>
      </c>
      <c r="E132" s="469">
        <f>+'[1]Zipper y Picos'!$D$9</f>
        <v>0.015</v>
      </c>
    </row>
    <row r="133" spans="1:27">
      <c r="A133" t="s">
        <v>141</v>
      </c>
      <c r="B133" s="468">
        <f>+[1]Caja!$D$3</f>
        <v>0.376442244224422</v>
      </c>
      <c r="D133" t="s">
        <v>142</v>
      </c>
      <c r="E133" s="469">
        <f>+'[1]Zipper y Picos'!$D$6/1000</f>
        <v>0.0322317161716172</v>
      </c>
    </row>
    <row r="134" spans="1:27">
      <c r="A134" s="340" t="s">
        <v>143</v>
      </c>
      <c r="B134" s="340"/>
      <c r="C134" s="340"/>
      <c r="D134" s="340"/>
      <c r="E134" s="340"/>
      <c r="F134" s="340"/>
      <c r="G134" s="340"/>
      <c r="H134" s="340"/>
      <c r="I134" s="340"/>
      <c r="J134" s="340"/>
      <c r="K134" s="340"/>
      <c r="L134" s="340"/>
      <c r="M134" s="340"/>
      <c r="N134" s="341"/>
      <c r="O134" s="341"/>
      <c r="P134" s="341"/>
      <c r="Q134" s="341"/>
      <c r="R134" s="341"/>
    </row>
    <row r="135" spans="1:27">
      <c r="A135" s="340"/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1"/>
      <c r="O135" s="341"/>
      <c r="P135" s="341"/>
      <c r="Q135" s="341"/>
      <c r="R135" s="341"/>
    </row>
    <row r="136" spans="1:27">
      <c r="A136" s="44"/>
      <c r="B136" s="44"/>
      <c r="C136" s="470" t="s">
        <v>144</v>
      </c>
      <c r="D136" s="471"/>
      <c r="E136" s="472" t="s">
        <v>145</v>
      </c>
      <c r="F136" s="473"/>
      <c r="G136" s="470" t="s">
        <v>146</v>
      </c>
      <c r="H136" s="471"/>
      <c r="I136" s="472" t="s">
        <v>147</v>
      </c>
      <c r="J136" s="474"/>
      <c r="K136" s="475" t="s">
        <v>148</v>
      </c>
      <c r="L136" s="476"/>
      <c r="N136" s="168"/>
      <c r="Q136" s="168"/>
      <c r="R136" s="168"/>
      <c r="AA136" s="44"/>
    </row>
    <row r="137" customHeight="1" spans="1:27">
      <c r="A137" s="477" t="s">
        <v>149</v>
      </c>
      <c r="B137" s="478"/>
      <c r="C137" s="135" t="s">
        <v>150</v>
      </c>
      <c r="D137" s="479" t="s">
        <v>151</v>
      </c>
      <c r="E137" s="480" t="s">
        <v>150</v>
      </c>
      <c r="F137" s="480" t="s">
        <v>151</v>
      </c>
      <c r="G137" s="135" t="s">
        <v>152</v>
      </c>
      <c r="H137" s="479" t="s">
        <v>151</v>
      </c>
      <c r="I137" s="481" t="s">
        <v>152</v>
      </c>
      <c r="J137" s="480" t="s">
        <v>151</v>
      </c>
      <c r="K137" s="482" t="s">
        <v>150</v>
      </c>
      <c r="L137" s="482" t="s">
        <v>151</v>
      </c>
      <c r="M137" s="483"/>
      <c r="N137" s="483"/>
      <c r="O137" s="483"/>
      <c r="P137" s="483"/>
      <c r="Q137" s="483"/>
      <c r="R137" s="483"/>
      <c r="S137" s="483"/>
      <c r="T137" s="483"/>
      <c r="U137" s="483"/>
      <c r="V137" s="483"/>
      <c r="X137" s="483"/>
      <c r="AA137" s="44"/>
    </row>
    <row r="138" spans="1:27">
      <c r="A138" s="484"/>
      <c r="B138" s="485"/>
      <c r="C138" s="486"/>
      <c r="D138" s="487"/>
      <c r="E138" s="488"/>
      <c r="F138" s="488"/>
      <c r="G138" s="486"/>
      <c r="H138" s="487"/>
      <c r="I138" s="489"/>
      <c r="J138" s="488"/>
      <c r="K138" s="490"/>
      <c r="L138" s="490"/>
      <c r="M138" s="483"/>
      <c r="N138" s="483"/>
      <c r="O138" s="483"/>
      <c r="P138" s="483"/>
      <c r="Q138" s="483"/>
      <c r="R138" s="483"/>
      <c r="S138" s="483"/>
      <c r="T138" s="483"/>
      <c r="U138" s="483"/>
      <c r="V138" s="483"/>
      <c r="X138" s="483"/>
      <c r="AA138" s="44"/>
    </row>
    <row r="139" spans="1:27">
      <c r="A139" s="491">
        <v>100</v>
      </c>
      <c r="B139" s="492" t="s">
        <v>153</v>
      </c>
      <c r="C139" s="493">
        <f>+[1]Produccion!$C$38</f>
        <v>75</v>
      </c>
      <c r="D139" s="493">
        <f>C139*60</f>
        <v>4500</v>
      </c>
      <c r="E139" s="494">
        <f>+[1]Produccion!$E$38</f>
        <v>70</v>
      </c>
      <c r="F139" s="494">
        <f>E139*60</f>
        <v>4200</v>
      </c>
      <c r="G139" s="493">
        <f>+[1]Produccion!$G$38</f>
        <v>5</v>
      </c>
      <c r="H139" s="493">
        <f>(G139*60)+D139</f>
        <v>4800</v>
      </c>
      <c r="I139" s="494">
        <f>+[1]Produccion!$I$38</f>
        <v>5</v>
      </c>
      <c r="J139" s="494">
        <f>(I139*60)+F139</f>
        <v>4500</v>
      </c>
      <c r="K139" s="495">
        <f>+[1]Produccion!$K$38</f>
        <v>25</v>
      </c>
      <c r="L139" s="495">
        <f>K139*60</f>
        <v>1500</v>
      </c>
      <c r="N139" s="168"/>
      <c r="O139" s="469"/>
      <c r="P139" s="469"/>
      <c r="Q139" s="168"/>
      <c r="R139" s="168"/>
      <c r="S139" s="469"/>
      <c r="T139" s="469"/>
      <c r="U139" s="469"/>
      <c r="V139" s="469"/>
      <c r="X139" s="469"/>
      <c r="AA139" s="44"/>
    </row>
    <row r="140" spans="1:27">
      <c r="A140" s="151">
        <v>120</v>
      </c>
      <c r="B140" s="492" t="s">
        <v>153</v>
      </c>
      <c r="C140" s="493">
        <f>+[1]Produccion!$C$39</f>
        <v>75</v>
      </c>
      <c r="D140" s="493">
        <f t="shared" ref="D140:D153" si="15">C140*60</f>
        <v>4500</v>
      </c>
      <c r="E140" s="494">
        <f>+[1]Produccion!$E$39</f>
        <v>70</v>
      </c>
      <c r="F140" s="494">
        <f t="shared" ref="F140:F155" si="16">E140*60</f>
        <v>4200</v>
      </c>
      <c r="G140" s="493">
        <f>+[1]Produccion!$G$39</f>
        <v>5</v>
      </c>
      <c r="H140" s="493">
        <f t="shared" ref="H140:H155" si="17">(G140*60)+D140</f>
        <v>4800</v>
      </c>
      <c r="I140" s="494">
        <f>+[1]Produccion!$I$39</f>
        <v>5</v>
      </c>
      <c r="J140" s="494">
        <f t="shared" ref="J140:J155" si="18">(I140*60)+F140</f>
        <v>4500</v>
      </c>
      <c r="K140" s="495">
        <f>+[1]Produccion!$K$38</f>
        <v>25</v>
      </c>
      <c r="L140" s="495">
        <f t="shared" ref="L140:L155" si="19">K140*60</f>
        <v>1500</v>
      </c>
      <c r="N140" s="168"/>
      <c r="O140" s="469"/>
      <c r="P140" s="469"/>
      <c r="Q140" s="168"/>
      <c r="R140" s="168"/>
      <c r="S140" s="469"/>
      <c r="T140" s="469"/>
      <c r="U140" s="469"/>
      <c r="V140" s="469"/>
      <c r="X140" s="469"/>
      <c r="AA140" s="44"/>
    </row>
    <row r="141" spans="1:27">
      <c r="A141" s="151">
        <v>125</v>
      </c>
      <c r="B141" s="492" t="s">
        <v>153</v>
      </c>
      <c r="C141" s="493">
        <f>+[1]Produccion!$C$40</f>
        <v>75</v>
      </c>
      <c r="D141" s="493">
        <f t="shared" si="15"/>
        <v>4500</v>
      </c>
      <c r="E141" s="494">
        <f>+[1]Produccion!$E$40</f>
        <v>70</v>
      </c>
      <c r="F141" s="494">
        <f t="shared" si="16"/>
        <v>4200</v>
      </c>
      <c r="G141" s="493">
        <f>+[1]Produccion!$G$40</f>
        <v>5</v>
      </c>
      <c r="H141" s="493">
        <f t="shared" si="17"/>
        <v>4800</v>
      </c>
      <c r="I141" s="494">
        <f>+[1]Produccion!$I$40</f>
        <v>5</v>
      </c>
      <c r="J141" s="494">
        <f t="shared" si="18"/>
        <v>4500</v>
      </c>
      <c r="K141" s="495">
        <f>+[1]Produccion!$K$38</f>
        <v>25</v>
      </c>
      <c r="L141" s="495">
        <f t="shared" si="19"/>
        <v>1500</v>
      </c>
      <c r="N141" s="168"/>
      <c r="O141" s="469"/>
      <c r="P141" s="469"/>
      <c r="Q141" s="168"/>
      <c r="R141" s="168"/>
      <c r="S141" s="469"/>
      <c r="T141" s="469"/>
      <c r="U141" s="469"/>
      <c r="V141" s="469"/>
      <c r="X141" s="469"/>
      <c r="AA141" s="44"/>
    </row>
    <row r="142" spans="1:27">
      <c r="A142" s="151">
        <v>130</v>
      </c>
      <c r="B142" s="492" t="s">
        <v>153</v>
      </c>
      <c r="C142" s="493">
        <f>+[1]Produccion!$C$41</f>
        <v>75</v>
      </c>
      <c r="D142" s="493">
        <f t="shared" si="15"/>
        <v>4500</v>
      </c>
      <c r="E142" s="494">
        <f>+[1]Produccion!$E$41</f>
        <v>70</v>
      </c>
      <c r="F142" s="494">
        <f t="shared" si="16"/>
        <v>4200</v>
      </c>
      <c r="G142" s="493">
        <f>+[1]Produccion!$G$41</f>
        <v>5</v>
      </c>
      <c r="H142" s="493">
        <f t="shared" si="17"/>
        <v>4800</v>
      </c>
      <c r="I142" s="494">
        <f>+[1]Produccion!$I$41</f>
        <v>5</v>
      </c>
      <c r="J142" s="494">
        <f t="shared" si="18"/>
        <v>4500</v>
      </c>
      <c r="K142" s="495">
        <f>+[1]Produccion!$K$38</f>
        <v>25</v>
      </c>
      <c r="L142" s="495">
        <f t="shared" si="19"/>
        <v>1500</v>
      </c>
      <c r="N142" s="168"/>
      <c r="O142" s="469"/>
      <c r="P142" s="469"/>
      <c r="Q142" s="168"/>
      <c r="R142" s="168"/>
      <c r="S142" s="469"/>
      <c r="T142" s="469"/>
      <c r="U142" s="469"/>
      <c r="V142" s="469"/>
      <c r="X142" s="469"/>
      <c r="AA142" s="44"/>
    </row>
    <row r="143" spans="1:27">
      <c r="A143" s="151">
        <v>140</v>
      </c>
      <c r="B143" s="492" t="s">
        <v>153</v>
      </c>
      <c r="C143" s="493">
        <f>+[1]Produccion!$C$42</f>
        <v>75</v>
      </c>
      <c r="D143" s="493">
        <f t="shared" si="15"/>
        <v>4500</v>
      </c>
      <c r="E143" s="494">
        <f>+[1]Produccion!$E$42</f>
        <v>70</v>
      </c>
      <c r="F143" s="494">
        <f t="shared" si="16"/>
        <v>4200</v>
      </c>
      <c r="G143" s="493">
        <f>+[1]Produccion!$G$42</f>
        <v>5</v>
      </c>
      <c r="H143" s="493">
        <f t="shared" si="17"/>
        <v>4800</v>
      </c>
      <c r="I143" s="494">
        <f>+[1]Produccion!$I$42</f>
        <v>5</v>
      </c>
      <c r="J143" s="494">
        <f t="shared" si="18"/>
        <v>4500</v>
      </c>
      <c r="K143" s="495">
        <f>+[1]Produccion!$K$38</f>
        <v>25</v>
      </c>
      <c r="L143" s="495">
        <f t="shared" si="19"/>
        <v>1500</v>
      </c>
      <c r="N143" s="168"/>
      <c r="O143" s="469"/>
      <c r="P143" s="469"/>
      <c r="Q143" s="168"/>
      <c r="R143" s="168"/>
      <c r="S143" s="469"/>
      <c r="T143" s="469"/>
      <c r="U143" s="469"/>
      <c r="V143" s="469"/>
      <c r="X143" s="469"/>
      <c r="AA143" s="44"/>
    </row>
    <row r="144" spans="1:27">
      <c r="A144" s="491">
        <v>150</v>
      </c>
      <c r="B144" s="492" t="s">
        <v>153</v>
      </c>
      <c r="C144" s="493">
        <f>+[1]Produccion!$C$43</f>
        <v>70</v>
      </c>
      <c r="D144" s="493">
        <f t="shared" si="15"/>
        <v>4200</v>
      </c>
      <c r="E144" s="494">
        <f>+[1]Produccion!$E$43</f>
        <v>65</v>
      </c>
      <c r="F144" s="494">
        <f t="shared" si="16"/>
        <v>3900</v>
      </c>
      <c r="G144" s="493">
        <f>+[1]Produccion!$G$43</f>
        <v>5</v>
      </c>
      <c r="H144" s="493">
        <f t="shared" si="17"/>
        <v>4500</v>
      </c>
      <c r="I144" s="494">
        <f>+[1]Produccion!$I$43</f>
        <v>5</v>
      </c>
      <c r="J144" s="494">
        <f t="shared" si="18"/>
        <v>4200</v>
      </c>
      <c r="K144" s="495">
        <f>+[1]Produccion!$K$38</f>
        <v>25</v>
      </c>
      <c r="L144" s="495">
        <f t="shared" si="19"/>
        <v>1500</v>
      </c>
      <c r="N144" s="168"/>
      <c r="O144" s="469"/>
      <c r="P144" s="469"/>
      <c r="Q144" s="168"/>
      <c r="R144" s="168"/>
      <c r="S144" s="469"/>
      <c r="T144" s="469"/>
      <c r="U144" s="469"/>
      <c r="V144" s="469"/>
      <c r="X144" s="469"/>
      <c r="AA144" s="44"/>
    </row>
    <row r="145" spans="1:27">
      <c r="A145" s="151">
        <v>160</v>
      </c>
      <c r="B145" s="492" t="s">
        <v>153</v>
      </c>
      <c r="C145" s="493">
        <f>+[1]Produccion!$C$44</f>
        <v>70</v>
      </c>
      <c r="D145" s="493">
        <f t="shared" si="15"/>
        <v>4200</v>
      </c>
      <c r="E145" s="494">
        <f>+[1]Produccion!$E$44</f>
        <v>65</v>
      </c>
      <c r="F145" s="494">
        <f t="shared" si="16"/>
        <v>3900</v>
      </c>
      <c r="G145" s="493">
        <f>+[1]Produccion!$G$44</f>
        <v>5</v>
      </c>
      <c r="H145" s="493">
        <f t="shared" si="17"/>
        <v>4500</v>
      </c>
      <c r="I145" s="494">
        <f>+[1]Produccion!$I$44</f>
        <v>5</v>
      </c>
      <c r="J145" s="494">
        <f t="shared" si="18"/>
        <v>4200</v>
      </c>
      <c r="K145" s="495">
        <f>+[1]Produccion!$K$38</f>
        <v>25</v>
      </c>
      <c r="L145" s="495">
        <f t="shared" si="19"/>
        <v>1500</v>
      </c>
      <c r="N145" s="168"/>
      <c r="O145" s="469"/>
      <c r="P145" s="469"/>
      <c r="Q145" s="168"/>
      <c r="R145" s="168"/>
      <c r="S145" s="469"/>
      <c r="T145" s="469"/>
      <c r="U145" s="469"/>
      <c r="V145" s="469"/>
      <c r="X145" s="469"/>
      <c r="AA145" s="44"/>
    </row>
    <row r="146" spans="1:27">
      <c r="A146" s="151">
        <v>170</v>
      </c>
      <c r="B146" s="492" t="s">
        <v>153</v>
      </c>
      <c r="C146" s="493">
        <f>+[1]Produccion!$C$45</f>
        <v>70</v>
      </c>
      <c r="D146" s="493">
        <f t="shared" si="15"/>
        <v>4200</v>
      </c>
      <c r="E146" s="494">
        <f>+[1]Produccion!$E$45</f>
        <v>65</v>
      </c>
      <c r="F146" s="494">
        <f t="shared" si="16"/>
        <v>3900</v>
      </c>
      <c r="G146" s="493">
        <f>+[1]Produccion!$G$45</f>
        <v>5</v>
      </c>
      <c r="H146" s="493">
        <f t="shared" si="17"/>
        <v>4500</v>
      </c>
      <c r="I146" s="494">
        <f>+[1]Produccion!$I$45</f>
        <v>5</v>
      </c>
      <c r="J146" s="494">
        <f t="shared" si="18"/>
        <v>4200</v>
      </c>
      <c r="K146" s="495">
        <f>+[1]Produccion!$K$38</f>
        <v>25</v>
      </c>
      <c r="L146" s="495">
        <f t="shared" si="19"/>
        <v>1500</v>
      </c>
      <c r="N146" s="168"/>
      <c r="O146" s="469"/>
      <c r="P146" s="469"/>
      <c r="Q146" s="168"/>
      <c r="R146" s="168"/>
      <c r="S146" s="469"/>
      <c r="T146" s="469"/>
      <c r="U146" s="469"/>
      <c r="V146" s="469"/>
      <c r="X146" s="469"/>
      <c r="AA146" s="44"/>
    </row>
    <row r="147" spans="1:27">
      <c r="A147" s="491">
        <v>180</v>
      </c>
      <c r="B147" s="492" t="s">
        <v>153</v>
      </c>
      <c r="C147" s="493">
        <f>+[1]Produccion!$C$46</f>
        <v>65</v>
      </c>
      <c r="D147" s="493">
        <f t="shared" si="15"/>
        <v>3900</v>
      </c>
      <c r="E147" s="494">
        <f>+[1]Produccion!$E$46</f>
        <v>50</v>
      </c>
      <c r="F147" s="494">
        <f t="shared" si="16"/>
        <v>3000</v>
      </c>
      <c r="G147" s="493">
        <f>+[1]Produccion!$G$46</f>
        <v>5</v>
      </c>
      <c r="H147" s="493">
        <f t="shared" si="17"/>
        <v>4200</v>
      </c>
      <c r="I147" s="494">
        <f>+[1]Produccion!$I$46</f>
        <v>5</v>
      </c>
      <c r="J147" s="494">
        <f t="shared" si="18"/>
        <v>3300</v>
      </c>
      <c r="K147" s="495">
        <f>+[1]Produccion!$K$38</f>
        <v>25</v>
      </c>
      <c r="L147" s="495">
        <f t="shared" si="19"/>
        <v>1500</v>
      </c>
      <c r="N147" s="168"/>
      <c r="O147" s="469"/>
      <c r="P147" s="469"/>
      <c r="Q147" s="168"/>
      <c r="R147" s="168"/>
      <c r="S147" s="469"/>
      <c r="T147" s="469"/>
      <c r="U147" s="469"/>
      <c r="V147" s="469"/>
      <c r="X147" s="469"/>
      <c r="AA147" s="44"/>
    </row>
    <row r="148" spans="1:27">
      <c r="A148" s="151">
        <v>200</v>
      </c>
      <c r="B148" s="492" t="s">
        <v>153</v>
      </c>
      <c r="C148" s="493">
        <f>+[1]Produccion!$C$47</f>
        <v>65</v>
      </c>
      <c r="D148" s="493">
        <f t="shared" si="15"/>
        <v>3900</v>
      </c>
      <c r="E148" s="494">
        <f>+[1]Produccion!$E$47</f>
        <v>50</v>
      </c>
      <c r="F148" s="494">
        <f t="shared" si="16"/>
        <v>3000</v>
      </c>
      <c r="G148" s="493">
        <f>+[1]Produccion!$G$47</f>
        <v>5</v>
      </c>
      <c r="H148" s="493">
        <f t="shared" si="17"/>
        <v>4200</v>
      </c>
      <c r="I148" s="494">
        <f>+[1]Produccion!$I$47</f>
        <v>5</v>
      </c>
      <c r="J148" s="494">
        <f t="shared" si="18"/>
        <v>3300</v>
      </c>
      <c r="K148" s="495">
        <f>+[1]Produccion!$K$38</f>
        <v>25</v>
      </c>
      <c r="L148" s="495">
        <f t="shared" si="19"/>
        <v>1500</v>
      </c>
      <c r="N148" s="168"/>
      <c r="O148" s="469"/>
      <c r="P148" s="469"/>
      <c r="Q148" s="168"/>
      <c r="R148" s="168"/>
      <c r="S148" s="469"/>
      <c r="T148" s="469"/>
      <c r="U148" s="469"/>
      <c r="V148" s="469"/>
      <c r="X148" s="469"/>
      <c r="AA148" s="44"/>
    </row>
    <row r="149" spans="1:27">
      <c r="A149" s="151">
        <v>220</v>
      </c>
      <c r="B149" s="492" t="s">
        <v>153</v>
      </c>
      <c r="C149" s="493">
        <f>+[1]Produccion!$C$48</f>
        <v>65</v>
      </c>
      <c r="D149" s="493">
        <f t="shared" si="15"/>
        <v>3900</v>
      </c>
      <c r="E149" s="494">
        <f>+[1]Produccion!$E$48</f>
        <v>50</v>
      </c>
      <c r="F149" s="494">
        <f t="shared" si="16"/>
        <v>3000</v>
      </c>
      <c r="G149" s="493">
        <f>+[1]Produccion!$G$48</f>
        <v>5</v>
      </c>
      <c r="H149" s="493">
        <f t="shared" si="17"/>
        <v>4200</v>
      </c>
      <c r="I149" s="494">
        <f>+[1]Produccion!$I$48</f>
        <v>5</v>
      </c>
      <c r="J149" s="494">
        <f t="shared" si="18"/>
        <v>3300</v>
      </c>
      <c r="K149" s="495">
        <f>+[1]Produccion!$K$38</f>
        <v>25</v>
      </c>
      <c r="L149" s="495">
        <f t="shared" si="19"/>
        <v>1500</v>
      </c>
      <c r="N149" s="168"/>
      <c r="O149" s="469"/>
      <c r="P149" s="469"/>
      <c r="Q149" s="168"/>
      <c r="R149" s="168"/>
      <c r="S149" s="469"/>
      <c r="T149" s="469"/>
      <c r="U149" s="469"/>
      <c r="V149" s="469"/>
      <c r="X149" s="469"/>
      <c r="AA149" s="44"/>
    </row>
    <row r="150" spans="1:27">
      <c r="A150" s="491">
        <v>250</v>
      </c>
      <c r="B150" s="492" t="s">
        <v>153</v>
      </c>
      <c r="C150" s="493">
        <f>+[1]Produccion!$C$49</f>
        <v>60</v>
      </c>
      <c r="D150" s="493">
        <f t="shared" si="15"/>
        <v>3600</v>
      </c>
      <c r="E150" s="494">
        <f>+[1]Produccion!$E$49</f>
        <v>40</v>
      </c>
      <c r="F150" s="494">
        <f t="shared" si="16"/>
        <v>2400</v>
      </c>
      <c r="G150" s="493">
        <f>+[1]Produccion!$G$49</f>
        <v>5</v>
      </c>
      <c r="H150" s="493">
        <f t="shared" si="17"/>
        <v>3900</v>
      </c>
      <c r="I150" s="494">
        <f>+[1]Produccion!$I$49</f>
        <v>5</v>
      </c>
      <c r="J150" s="494">
        <f t="shared" si="18"/>
        <v>2700</v>
      </c>
      <c r="K150" s="495">
        <f>+[1]Produccion!$K$38</f>
        <v>25</v>
      </c>
      <c r="L150" s="495">
        <f t="shared" si="19"/>
        <v>1500</v>
      </c>
      <c r="N150" s="168"/>
      <c r="O150" s="469"/>
      <c r="P150" s="469"/>
      <c r="Q150" s="168"/>
      <c r="R150" s="168"/>
      <c r="S150" s="469"/>
      <c r="T150" s="469"/>
      <c r="U150" s="469"/>
      <c r="V150" s="469"/>
      <c r="X150" s="469"/>
      <c r="AA150" s="44"/>
    </row>
    <row r="151" spans="1:27">
      <c r="A151" s="151">
        <v>270</v>
      </c>
      <c r="B151" s="492" t="s">
        <v>153</v>
      </c>
      <c r="C151" s="493">
        <f>+[1]Produccion!$C$50</f>
        <v>60</v>
      </c>
      <c r="D151" s="493">
        <f t="shared" si="15"/>
        <v>3600</v>
      </c>
      <c r="E151" s="494">
        <f>+[1]Produccion!$E$50</f>
        <v>40</v>
      </c>
      <c r="F151" s="494">
        <f t="shared" si="16"/>
        <v>2400</v>
      </c>
      <c r="G151" s="493">
        <f>+[1]Produccion!$G$50</f>
        <v>5</v>
      </c>
      <c r="H151" s="493">
        <f t="shared" si="17"/>
        <v>3900</v>
      </c>
      <c r="I151" s="494">
        <f>+[1]Produccion!$I$50</f>
        <v>5</v>
      </c>
      <c r="J151" s="494">
        <f t="shared" si="18"/>
        <v>2700</v>
      </c>
      <c r="K151" s="495">
        <f>+[1]Produccion!$K$38</f>
        <v>25</v>
      </c>
      <c r="L151" s="495">
        <f t="shared" si="19"/>
        <v>1500</v>
      </c>
      <c r="N151" s="168"/>
      <c r="O151" s="469"/>
      <c r="P151" s="469"/>
      <c r="Q151" s="168"/>
      <c r="R151" s="168"/>
      <c r="S151" s="469"/>
      <c r="T151" s="469"/>
      <c r="U151" s="469"/>
      <c r="V151" s="469"/>
      <c r="X151" s="469"/>
      <c r="AA151" s="44"/>
    </row>
    <row r="152" spans="1:27">
      <c r="A152" s="151">
        <v>290</v>
      </c>
      <c r="B152" s="492" t="s">
        <v>153</v>
      </c>
      <c r="C152" s="493">
        <f>+[1]Produccion!$C$51</f>
        <v>60</v>
      </c>
      <c r="D152" s="493">
        <f t="shared" si="15"/>
        <v>3600</v>
      </c>
      <c r="E152" s="494">
        <f>+[1]Produccion!$E$51</f>
        <v>40</v>
      </c>
      <c r="F152" s="494">
        <f t="shared" si="16"/>
        <v>2400</v>
      </c>
      <c r="G152" s="493">
        <f>+[1]Produccion!$G$51</f>
        <v>5</v>
      </c>
      <c r="H152" s="493">
        <f t="shared" si="17"/>
        <v>3900</v>
      </c>
      <c r="I152" s="494">
        <f>+[1]Produccion!$I$51</f>
        <v>5</v>
      </c>
      <c r="J152" s="494">
        <f t="shared" si="18"/>
        <v>2700</v>
      </c>
      <c r="K152" s="495">
        <f>+[1]Produccion!$K$38</f>
        <v>25</v>
      </c>
      <c r="L152" s="495">
        <f t="shared" si="19"/>
        <v>1500</v>
      </c>
      <c r="N152" s="168"/>
      <c r="O152" s="469"/>
      <c r="P152" s="469"/>
      <c r="Q152" s="168"/>
      <c r="R152" s="168"/>
      <c r="S152" s="469"/>
      <c r="T152" s="469"/>
      <c r="U152" s="469"/>
      <c r="V152" s="469"/>
      <c r="X152" s="469"/>
      <c r="AA152" s="44"/>
    </row>
    <row r="153" spans="1:27">
      <c r="A153" s="151">
        <v>300</v>
      </c>
      <c r="B153" s="492" t="s">
        <v>153</v>
      </c>
      <c r="C153" s="493">
        <f>+[1]Produccion!$C$52</f>
        <v>60</v>
      </c>
      <c r="D153" s="493">
        <f t="shared" si="15"/>
        <v>3600</v>
      </c>
      <c r="E153" s="494">
        <f>+[1]Produccion!$E$52</f>
        <v>40</v>
      </c>
      <c r="F153" s="494">
        <f t="shared" si="16"/>
        <v>2400</v>
      </c>
      <c r="G153" s="493">
        <f>+[1]Produccion!$G$52</f>
        <v>5</v>
      </c>
      <c r="H153" s="493">
        <f t="shared" si="17"/>
        <v>3900</v>
      </c>
      <c r="I153" s="494">
        <f>+[1]Produccion!$I$52</f>
        <v>5</v>
      </c>
      <c r="J153" s="494">
        <f t="shared" si="18"/>
        <v>2700</v>
      </c>
      <c r="K153" s="495">
        <f>+[1]Produccion!$K$38</f>
        <v>25</v>
      </c>
      <c r="L153" s="495">
        <f t="shared" si="19"/>
        <v>1500</v>
      </c>
      <c r="N153" s="168"/>
      <c r="O153" s="469"/>
      <c r="P153" s="469"/>
      <c r="Q153" s="168"/>
      <c r="R153" s="168"/>
      <c r="S153" s="469"/>
      <c r="T153" s="469"/>
      <c r="U153" s="469"/>
      <c r="V153" s="469"/>
      <c r="X153" s="469"/>
      <c r="AA153" s="44"/>
    </row>
    <row r="154" spans="1:27">
      <c r="A154" s="151">
        <v>340</v>
      </c>
      <c r="B154" s="492" t="s">
        <v>153</v>
      </c>
      <c r="C154" s="493">
        <f>+[1]Produccion!$C$53</f>
        <v>60</v>
      </c>
      <c r="D154" s="493">
        <f t="shared" ref="D154:D155" si="20">C154*60</f>
        <v>3600</v>
      </c>
      <c r="E154" s="494">
        <f>+[1]Produccion!$E$53</f>
        <v>40</v>
      </c>
      <c r="F154" s="494">
        <f t="shared" si="16"/>
        <v>2400</v>
      </c>
      <c r="G154" s="493">
        <f>+[1]Produccion!$G$53</f>
        <v>5</v>
      </c>
      <c r="H154" s="493">
        <f t="shared" si="17"/>
        <v>3900</v>
      </c>
      <c r="I154" s="494">
        <f>+[1]Produccion!$I$53</f>
        <v>5</v>
      </c>
      <c r="J154" s="494">
        <f t="shared" si="18"/>
        <v>2700</v>
      </c>
      <c r="K154" s="495">
        <f>+[1]Produccion!$K$38</f>
        <v>25</v>
      </c>
      <c r="L154" s="495">
        <f t="shared" si="19"/>
        <v>1500</v>
      </c>
      <c r="N154" s="168"/>
      <c r="O154" s="469"/>
      <c r="P154" s="469"/>
      <c r="Q154" s="168"/>
      <c r="R154" s="168"/>
      <c r="S154" s="469"/>
      <c r="T154" s="469"/>
      <c r="U154" s="469"/>
      <c r="V154" s="469"/>
      <c r="X154" s="469"/>
      <c r="AA154" s="44"/>
    </row>
    <row r="155" spans="1:27">
      <c r="A155" s="491">
        <v>380</v>
      </c>
      <c r="B155" s="492" t="s">
        <v>153</v>
      </c>
      <c r="C155" s="493">
        <f>+[1]Produccion!$C$54</f>
        <v>50</v>
      </c>
      <c r="D155" s="493">
        <f t="shared" si="20"/>
        <v>3000</v>
      </c>
      <c r="E155" s="494">
        <f>+[1]Produccion!$E$54</f>
        <v>30</v>
      </c>
      <c r="F155" s="494">
        <f t="shared" si="16"/>
        <v>1800</v>
      </c>
      <c r="G155" s="493">
        <f>+[1]Produccion!$G$54</f>
        <v>5</v>
      </c>
      <c r="H155" s="493">
        <f t="shared" si="17"/>
        <v>3300</v>
      </c>
      <c r="I155" s="494">
        <f>+[1]Produccion!$I$54</f>
        <v>5</v>
      </c>
      <c r="J155" s="494">
        <f t="shared" si="18"/>
        <v>2100</v>
      </c>
      <c r="K155" s="495">
        <f>+[1]Produccion!$K$38</f>
        <v>25</v>
      </c>
      <c r="L155" s="495">
        <f t="shared" si="19"/>
        <v>1500</v>
      </c>
      <c r="N155" s="168"/>
      <c r="O155" s="469"/>
      <c r="P155" s="469"/>
      <c r="Q155" s="168"/>
      <c r="R155" s="168"/>
      <c r="S155" s="469"/>
      <c r="T155" s="469"/>
      <c r="U155" s="469"/>
      <c r="V155" s="469"/>
      <c r="X155" s="469"/>
      <c r="AA155" s="44"/>
    </row>
    <row r="157" spans="1:27">
      <c r="A157" s="340" t="s">
        <v>154</v>
      </c>
      <c r="B157" s="340"/>
      <c r="C157" s="340"/>
      <c r="D157" s="340"/>
      <c r="E157" s="340"/>
      <c r="F157" s="340"/>
      <c r="G157" s="340"/>
      <c r="H157" s="340"/>
      <c r="I157" s="340"/>
      <c r="J157" s="340"/>
      <c r="K157" s="340"/>
      <c r="L157" s="340"/>
      <c r="M157" s="340"/>
      <c r="N157" s="341"/>
      <c r="O157" s="341"/>
      <c r="P157" s="341"/>
      <c r="Q157" s="341"/>
      <c r="R157" s="341"/>
    </row>
    <row r="158" ht="15.75" spans="1:27">
      <c r="A158" s="340"/>
      <c r="B158" s="340"/>
      <c r="C158" s="340"/>
      <c r="D158" s="340"/>
      <c r="E158" s="340"/>
      <c r="F158" s="340"/>
      <c r="G158" s="340"/>
      <c r="H158" s="340"/>
      <c r="I158" s="340"/>
      <c r="J158" s="340"/>
      <c r="K158" s="340"/>
      <c r="L158" s="340"/>
      <c r="M158" s="340"/>
      <c r="N158" s="341"/>
      <c r="O158" s="341"/>
      <c r="P158" s="341"/>
      <c r="Q158" s="341"/>
      <c r="R158" s="341"/>
    </row>
    <row r="159" ht="15.75" spans="1:27">
      <c r="B159" s="496" t="s">
        <v>155</v>
      </c>
      <c r="C159" s="497"/>
      <c r="D159" s="497"/>
      <c r="E159" s="498"/>
    </row>
    <row r="160" ht="15.75" spans="1:27">
      <c r="A160" s="499"/>
      <c r="B160" s="500" t="s">
        <v>156</v>
      </c>
      <c r="C160" s="501" t="s">
        <v>157</v>
      </c>
      <c r="D160" s="502" t="s">
        <v>158</v>
      </c>
      <c r="E160" s="501"/>
    </row>
    <row r="161" ht="15.75" spans="1:5">
      <c r="A161" s="499" t="s">
        <v>159</v>
      </c>
      <c r="B161" s="500">
        <v>900</v>
      </c>
      <c r="C161" s="501">
        <v>3500</v>
      </c>
      <c r="D161" s="502">
        <v>7000</v>
      </c>
      <c r="E161" s="501">
        <v>10000</v>
      </c>
    </row>
    <row r="162" ht="15.75" spans="1:5">
      <c r="A162" s="503" t="str">
        <f>+[1]Flete!$A4:$E4</f>
        <v>Quilmes</v>
      </c>
      <c r="B162" s="504">
        <f>+[1]Flete!F4</f>
        <v>38.1214521452145</v>
      </c>
      <c r="C162" s="505">
        <f>+[1]Flete!G4</f>
        <v>76.242904290429</v>
      </c>
      <c r="D162" s="505">
        <f>+[1]Flete!H4</f>
        <v>152.485808580858</v>
      </c>
      <c r="E162" s="505">
        <f>+[1]Flete!I4</f>
        <v>200.135313531353</v>
      </c>
    </row>
    <row r="163" ht="15.75" spans="1:5">
      <c r="A163" s="503" t="str">
        <f>+[1]Flete!$A5:$E5</f>
        <v>Avellaneda</v>
      </c>
      <c r="B163" s="504">
        <f>+[1]Flete!F5</f>
        <v>47.6514851485149</v>
      </c>
      <c r="C163" s="505">
        <f>+[1]Flete!G5</f>
        <v>95.3029702970297</v>
      </c>
      <c r="D163" s="505">
        <f>+[1]Flete!H5</f>
        <v>190.605940594059</v>
      </c>
      <c r="E163" s="505">
        <f>+[1]Flete!I5</f>
        <v>266.850165016502</v>
      </c>
    </row>
    <row r="164" ht="15.75" spans="1:5">
      <c r="A164" s="503" t="str">
        <f>+[1]Flete!$A6:$E6</f>
        <v>Caba</v>
      </c>
      <c r="B164" s="504">
        <f>+[1]Flete!F6</f>
        <v>57.1821782178218</v>
      </c>
      <c r="C164" s="505">
        <f>+[1]Flete!G6</f>
        <v>114.364356435644</v>
      </c>
      <c r="D164" s="505">
        <f>+[1]Flete!H6</f>
        <v>228.728712871287</v>
      </c>
      <c r="E164" s="505">
        <f>+[1]Flete!I6</f>
        <v>333.514191419142</v>
      </c>
    </row>
    <row r="165" ht="15.75" spans="1:5">
      <c r="A165" s="503" t="str">
        <f>+[1]Flete!$A7:$E7</f>
        <v>LaPlata</v>
      </c>
      <c r="B165" s="504">
        <f>+[1]Flete!F7</f>
        <v>57.1821782178218</v>
      </c>
      <c r="C165" s="505">
        <f>+[1]Flete!G7</f>
        <v>114.364356435644</v>
      </c>
      <c r="D165" s="505">
        <f>+[1]Flete!H7</f>
        <v>228.728712871287</v>
      </c>
      <c r="E165" s="505">
        <f>+[1]Flete!I7</f>
        <v>333.514191419142</v>
      </c>
    </row>
    <row r="166" ht="15.75" spans="1:5">
      <c r="A166" s="503" t="str">
        <f>+[1]Flete!$A8:$E8</f>
        <v>Munro</v>
      </c>
      <c r="B166" s="504">
        <f>+[1]Flete!F8</f>
        <v>66.7122112211221</v>
      </c>
      <c r="C166" s="505">
        <f>+[1]Flete!G8</f>
        <v>133.424422442244</v>
      </c>
      <c r="D166" s="505">
        <f>+[1]Flete!H8</f>
        <v>266.848844884488</v>
      </c>
      <c r="E166" s="505">
        <f>+[1]Flete!I8</f>
        <v>400.275247524753</v>
      </c>
    </row>
    <row r="167" ht="15.75" spans="1:5">
      <c r="A167" s="503" t="str">
        <f>+[1]Flete!$A9:$E9</f>
        <v>SanMartin</v>
      </c>
      <c r="B167" s="504">
        <f>+[1]Flete!F9</f>
        <v>66.7122112211221</v>
      </c>
      <c r="C167" s="505">
        <f>+[1]Flete!G9</f>
        <v>133.424422442244</v>
      </c>
      <c r="D167" s="505">
        <f>+[1]Flete!H9</f>
        <v>266.848844884488</v>
      </c>
      <c r="E167" s="505">
        <f>+[1]Flete!I9</f>
        <v>400.275247524753</v>
      </c>
    </row>
    <row r="168" ht="15.75" spans="1:5">
      <c r="A168" s="503" t="str">
        <f>+[1]Flete!$A10:$E10</f>
        <v>Boulogne</v>
      </c>
      <c r="B168" s="504">
        <f>+[1]Flete!F10</f>
        <v>76.242904290429</v>
      </c>
      <c r="C168" s="505">
        <f>+[1]Flete!G10</f>
        <v>152.485808580858</v>
      </c>
      <c r="D168" s="505">
        <f>+[1]Flete!H10</f>
        <v>304.971617161716</v>
      </c>
      <c r="E168" s="505">
        <f>+[1]Flete!I10</f>
        <v>466.985478547855</v>
      </c>
    </row>
    <row r="169" ht="15.75" spans="1:5">
      <c r="A169" s="503" t="str">
        <f>+[1]Flete!$A11:$E11</f>
        <v>Ituzaingo</v>
      </c>
      <c r="B169" s="504">
        <f>+[1]Flete!F11</f>
        <v>76.242904290429</v>
      </c>
      <c r="C169" s="505">
        <f>+[1]Flete!G11</f>
        <v>152.485808580858</v>
      </c>
      <c r="D169" s="505">
        <f>+[1]Flete!H11</f>
        <v>304.971617161716</v>
      </c>
      <c r="E169" s="505">
        <f>+[1]Flete!I11</f>
        <v>466.985478547855</v>
      </c>
    </row>
    <row r="170" ht="15.75" spans="1:5">
      <c r="A170" s="503" t="str">
        <f>+[1]Flete!$A12:$E12</f>
        <v>Moron</v>
      </c>
      <c r="B170" s="504">
        <f>+[1]Flete!F12</f>
        <v>76.242904290429</v>
      </c>
      <c r="C170" s="505">
        <f>+[1]Flete!G12</f>
        <v>152.485808580858</v>
      </c>
      <c r="D170" s="505">
        <f>+[1]Flete!H12</f>
        <v>304.971617161716</v>
      </c>
      <c r="E170" s="505">
        <f>+[1]Flete!I12</f>
        <v>466.985478547855</v>
      </c>
    </row>
    <row r="171" ht="15.75" spans="1:5">
      <c r="A171" s="503" t="str">
        <f>+[1]Flete!$A13:$E13</f>
        <v>JLSuarez</v>
      </c>
      <c r="B171" s="504">
        <f>+[1]Flete!F13</f>
        <v>76.242904290429</v>
      </c>
      <c r="C171" s="505">
        <f>+[1]Flete!G13</f>
        <v>152.485808580858</v>
      </c>
      <c r="D171" s="505">
        <f>+[1]Flete!H13</f>
        <v>304.971617161716</v>
      </c>
      <c r="E171" s="505">
        <f>+[1]Flete!I13</f>
        <v>466.985478547855</v>
      </c>
    </row>
    <row r="172" ht="15.75" spans="1:5">
      <c r="A172" s="503" t="str">
        <f>+[1]Flete!$A14:$E14</f>
        <v>SanJusto</v>
      </c>
      <c r="B172" s="504">
        <f>+[1]Flete!F14</f>
        <v>85.7729372937294</v>
      </c>
      <c r="C172" s="505">
        <f>+[1]Flete!G14</f>
        <v>171.545874587459</v>
      </c>
      <c r="D172" s="505">
        <f>+[1]Flete!H14</f>
        <v>343.091749174917</v>
      </c>
      <c r="E172" s="505">
        <f>+[1]Flete!I14</f>
        <v>533.700330033003</v>
      </c>
    </row>
    <row r="173" ht="15.75" spans="1:5">
      <c r="A173" s="503" t="str">
        <f>+[1]Flete!$A15:$E15</f>
        <v>PPodesta</v>
      </c>
      <c r="B173" s="504">
        <f>+[1]Flete!F15</f>
        <v>85.7729372937294</v>
      </c>
      <c r="C173" s="505">
        <f>+[1]Flete!G15</f>
        <v>171.545874587459</v>
      </c>
      <c r="D173" s="505">
        <f>+[1]Flete!H15</f>
        <v>343.091749174917</v>
      </c>
      <c r="E173" s="505">
        <f>+[1]Flete!I15</f>
        <v>533.700330033003</v>
      </c>
    </row>
    <row r="174" ht="15.75" spans="1:5">
      <c r="A174" s="503" t="str">
        <f>+[1]Flete!$A16:$E16</f>
        <v>Tigre</v>
      </c>
      <c r="B174" s="504">
        <f>+[1]Flete!F16</f>
        <v>95.3036303630363</v>
      </c>
      <c r="C174" s="505">
        <f>+[1]Flete!G16</f>
        <v>190.607260726073</v>
      </c>
      <c r="D174" s="505">
        <f>+[1]Flete!H16</f>
        <v>381.214521452145</v>
      </c>
      <c r="E174" s="505">
        <f>+[1]Flete!I16</f>
        <v>600.410561056106</v>
      </c>
    </row>
    <row r="175" ht="15.75" spans="1:5">
      <c r="A175" s="503" t="str">
        <f>+[1]Flete!$A17:$E17</f>
        <v>Merlo</v>
      </c>
      <c r="B175" s="504">
        <f>+[1]Flete!F17</f>
        <v>95.3036303630363</v>
      </c>
      <c r="C175" s="505">
        <f>+[1]Flete!G17</f>
        <v>190.607260726073</v>
      </c>
      <c r="D175" s="505">
        <f>+[1]Flete!H17</f>
        <v>381.214521452145</v>
      </c>
      <c r="E175" s="505">
        <f>+[1]Flete!I17</f>
        <v>600.410561056106</v>
      </c>
    </row>
    <row r="176" ht="15.75" spans="1:5">
      <c r="A176" s="503" t="str">
        <f>+[1]Flete!$A18:$E18</f>
        <v>SanFernando</v>
      </c>
      <c r="B176" s="504">
        <f>+[1]Flete!F18</f>
        <v>95.3036303630363</v>
      </c>
      <c r="C176" s="505">
        <f>+[1]Flete!G18</f>
        <v>190.607260726073</v>
      </c>
      <c r="D176" s="505">
        <f>+[1]Flete!H18</f>
        <v>381.214521452145</v>
      </c>
      <c r="E176" s="505">
        <f>+[1]Flete!I18</f>
        <v>600.410561056106</v>
      </c>
    </row>
    <row r="177" ht="15.75" spans="1:5">
      <c r="A177" s="503" t="str">
        <f>+[1]Flete!$A19:$E19</f>
        <v>BellaVista</v>
      </c>
      <c r="B177" s="504">
        <f>+[1]Flete!F19</f>
        <v>95.3036303630363</v>
      </c>
      <c r="C177" s="505">
        <f>+[1]Flete!G19</f>
        <v>190.607260726073</v>
      </c>
      <c r="D177" s="505">
        <f>+[1]Flete!H19</f>
        <v>381.214521452145</v>
      </c>
      <c r="E177" s="505">
        <f>+[1]Flete!I19</f>
        <v>600.410561056106</v>
      </c>
    </row>
    <row r="178" ht="15.75" spans="1:5">
      <c r="A178" s="503" t="str">
        <f>+[1]Flete!$A20:$E20</f>
        <v>Garin</v>
      </c>
      <c r="B178" s="504">
        <f>+[1]Flete!F20</f>
        <v>95.3036303630363</v>
      </c>
      <c r="C178" s="505">
        <f>+[1]Flete!G20</f>
        <v>190.607260726073</v>
      </c>
      <c r="D178" s="505">
        <f>+[1]Flete!H20</f>
        <v>381.214521452145</v>
      </c>
      <c r="E178" s="505">
        <f>+[1]Flete!I20</f>
        <v>600.410561056106</v>
      </c>
    </row>
    <row r="179" ht="15.75" spans="1:5">
      <c r="A179" s="503" t="str">
        <f>+[1]Flete!$A21:$E21</f>
        <v>Ezeiza</v>
      </c>
      <c r="B179" s="504">
        <f>+[1]Flete!F21</f>
        <v>95.3036303630363</v>
      </c>
      <c r="C179" s="505">
        <f>+[1]Flete!G21</f>
        <v>190.607260726073</v>
      </c>
      <c r="D179" s="505">
        <f>+[1]Flete!H21</f>
        <v>381.214521452145</v>
      </c>
      <c r="E179" s="505">
        <f>+[1]Flete!I21</f>
        <v>600.410561056106</v>
      </c>
    </row>
    <row r="180" ht="15.75" spans="1:5">
      <c r="A180" s="503" t="str">
        <f>+[1]Flete!$A22:$E22</f>
        <v>Tortuguitas</v>
      </c>
      <c r="B180" s="504">
        <f>+[1]Flete!F22</f>
        <v>95.3036303630363</v>
      </c>
      <c r="C180" s="505">
        <f>+[1]Flete!G22</f>
        <v>190.607260726073</v>
      </c>
      <c r="D180" s="505">
        <f>+[1]Flete!H22</f>
        <v>381.214521452145</v>
      </c>
      <c r="E180" s="505">
        <f>+[1]Flete!I22</f>
        <v>600.410561056106</v>
      </c>
    </row>
    <row r="181" ht="15.75" spans="1:5">
      <c r="A181" s="503" t="str">
        <f>+[1]Flete!$A23:$E23</f>
        <v>Moreno</v>
      </c>
      <c r="B181" s="504">
        <f>+[1]Flete!F23</f>
        <v>95.3036303630363</v>
      </c>
      <c r="C181" s="505">
        <f>+[1]Flete!G23</f>
        <v>190.607260726073</v>
      </c>
      <c r="D181" s="505">
        <f>+[1]Flete!H23</f>
        <v>381.214521452145</v>
      </c>
      <c r="E181" s="505">
        <f>+[1]Flete!I23</f>
        <v>600.410561056106</v>
      </c>
    </row>
    <row r="182" ht="15.75" spans="1:5">
      <c r="A182" s="503" t="str">
        <f>+[1]Flete!$A24:$E24</f>
        <v>Pilar</v>
      </c>
      <c r="B182" s="504">
        <f>+[1]Flete!F24</f>
        <v>95.3036303630363</v>
      </c>
      <c r="C182" s="505">
        <f>+[1]Flete!G24</f>
        <v>190.607260726073</v>
      </c>
      <c r="D182" s="505">
        <f>+[1]Flete!H24</f>
        <v>381.214521452145</v>
      </c>
      <c r="E182" s="505">
        <f>+[1]Flete!I24</f>
        <v>600.410561056106</v>
      </c>
    </row>
    <row r="183" ht="15.75" spans="1:5">
      <c r="A183" s="503" t="str">
        <f>+[1]Flete!$A25:$E25</f>
        <v>Escobar</v>
      </c>
      <c r="B183" s="504">
        <f>+[1]Flete!F25</f>
        <v>95.3036303630363</v>
      </c>
      <c r="C183" s="505">
        <f>+[1]Flete!G25</f>
        <v>190.607260726073</v>
      </c>
      <c r="D183" s="505">
        <f>+[1]Flete!H25</f>
        <v>381.214521452145</v>
      </c>
      <c r="E183" s="505">
        <f>+[1]Flete!I25</f>
        <v>600.410561056106</v>
      </c>
    </row>
    <row r="184" ht="15.75" spans="1:5">
      <c r="A184" s="503" t="str">
        <f>+[1]Flete!$A26:$E26</f>
        <v>Lujan</v>
      </c>
      <c r="B184" s="504">
        <f>+[1]Flete!F26</f>
        <v>95.3036303630363</v>
      </c>
      <c r="C184" s="505">
        <f>+[1]Flete!G26</f>
        <v>190.607260726073</v>
      </c>
      <c r="D184" s="505">
        <f>+[1]Flete!H26</f>
        <v>381.214521452145</v>
      </c>
      <c r="E184" s="505">
        <f>+[1]Flete!I26</f>
        <v>600.410561056106</v>
      </c>
    </row>
    <row r="185" ht="15.75" spans="1:5">
      <c r="A185" s="503" t="str">
        <f>+[1]Flete!$A27:$E27</f>
        <v>aCotizar</v>
      </c>
      <c r="B185" s="504">
        <f>+[1]Flete!F27</f>
        <v>0</v>
      </c>
      <c r="C185" s="505">
        <f>+[1]Flete!G27</f>
        <v>0</v>
      </c>
      <c r="D185" s="505">
        <f>+[1]Flete!H27</f>
        <v>0</v>
      </c>
      <c r="E185" s="505">
        <f>+[1]Flete!I27</f>
        <v>0</v>
      </c>
    </row>
    <row r="186" ht="15.75" spans="1:5">
      <c r="A186" s="503" t="str">
        <f>+[1]Flete!$A28:$E28</f>
        <v>Km a partir de los 150km</v>
      </c>
      <c r="B186" s="504">
        <f>+[1]Flete!F28</f>
        <v>1.38613861386139</v>
      </c>
      <c r="C186" s="505">
        <f>+[1]Flete!G28</f>
        <v>2.64026402640264</v>
      </c>
      <c r="D186" s="505">
        <f>+[1]Flete!H28</f>
        <v>2.64026402640264</v>
      </c>
      <c r="E186" s="505">
        <f>+[1]Flete!I28</f>
        <v>0</v>
      </c>
    </row>
    <row r="187" ht="15.75" spans="1:5">
      <c r="A187" s="503" t="str">
        <f>+[1]Flete!$A29:$E29</f>
        <v>EsperaXhr</v>
      </c>
      <c r="B187" s="504">
        <f>+[1]Flete!F29</f>
        <v>13.8613861386139</v>
      </c>
      <c r="C187" s="505">
        <f>+[1]Flete!G29</f>
        <v>15.8415841584158</v>
      </c>
      <c r="D187" s="505">
        <f>+[1]Flete!H29</f>
        <v>15.8415841584158</v>
      </c>
      <c r="E187" s="505">
        <f>+[1]Flete!I29</f>
        <v>0</v>
      </c>
    </row>
    <row r="188" spans="1:5">
      <c r="A188" s="503"/>
      <c r="B188" s="503"/>
      <c r="C188" s="503"/>
      <c r="D188" s="503"/>
      <c r="E188" s="503"/>
    </row>
    <row r="190" spans="1:5">
      <c r="A190" s="362" t="s">
        <v>160</v>
      </c>
      <c r="B190" s="362" t="s">
        <v>160</v>
      </c>
      <c r="C190" s="362" t="s">
        <v>161</v>
      </c>
    </row>
    <row r="191" spans="1:5">
      <c r="A191" s="367" t="s">
        <v>162</v>
      </c>
      <c r="B191" s="367">
        <v>2</v>
      </c>
      <c r="C191" s="367" t="s">
        <v>163</v>
      </c>
    </row>
    <row r="192" spans="1:5">
      <c r="A192" s="367" t="s">
        <v>164</v>
      </c>
      <c r="B192" s="367">
        <v>3</v>
      </c>
      <c r="C192" s="367" t="s">
        <v>115</v>
      </c>
    </row>
    <row r="193" spans="1:13">
      <c r="A193" s="367" t="s">
        <v>165</v>
      </c>
      <c r="B193" s="367">
        <v>1</v>
      </c>
      <c r="C193" s="367" t="s">
        <v>116</v>
      </c>
    </row>
    <row r="194" spans="1:13">
      <c r="A194" s="367" t="s">
        <v>90</v>
      </c>
      <c r="B194" s="367">
        <v>2.5</v>
      </c>
      <c r="C194" s="367" t="s">
        <v>90</v>
      </c>
    </row>
    <row r="198" ht="23.25" spans="1:13">
      <c r="A198" s="506" t="s">
        <v>166</v>
      </c>
      <c r="B198" s="506"/>
    </row>
    <row r="199" spans="1:13">
      <c r="A199" s="507">
        <v>30</v>
      </c>
      <c r="B199" s="508">
        <f>+[1]USD!$B$18</f>
        <v>4.16666666666667</v>
      </c>
    </row>
    <row r="200" spans="1:13">
      <c r="A200" s="507">
        <v>45</v>
      </c>
      <c r="B200" s="508">
        <f>+[1]USD!$B$19</f>
        <v>6.38297872340426</v>
      </c>
    </row>
    <row r="201" spans="1:13">
      <c r="A201" s="507">
        <v>60</v>
      </c>
      <c r="B201" s="508">
        <f>+[1]USD!$B$20</f>
        <v>8.69565217391303</v>
      </c>
    </row>
    <row r="202" spans="1:13">
      <c r="A202" s="507">
        <v>0</v>
      </c>
      <c r="B202" s="509">
        <f>+[1]USD!$B$21</f>
        <v>0</v>
      </c>
    </row>
    <row r="204" ht="24" spans="1:13">
      <c r="A204" s="510" t="s">
        <v>167</v>
      </c>
      <c r="B204" s="510"/>
      <c r="C204" s="510"/>
      <c r="D204" s="510"/>
      <c r="E204" s="510"/>
      <c r="F204" s="510"/>
    </row>
    <row r="205" ht="15.75" spans="1:13">
      <c r="B205" s="511" t="s">
        <v>168</v>
      </c>
      <c r="C205" s="512"/>
      <c r="D205" s="512"/>
      <c r="E205" s="513"/>
      <c r="F205" s="511" t="s">
        <v>161</v>
      </c>
      <c r="G205" s="512"/>
      <c r="H205" s="512"/>
      <c r="I205" s="513"/>
    </row>
    <row r="206" ht="15.75" spans="1:13">
      <c r="A206" s="342" t="s">
        <v>13</v>
      </c>
      <c r="B206" s="342">
        <f>+[1]Margen!$B$3</f>
        <v>500</v>
      </c>
      <c r="C206" s="342">
        <f>+[1]Margen!$C$3</f>
        <v>1000</v>
      </c>
      <c r="D206" s="342">
        <f>+[1]Margen!$D$3</f>
        <v>2500</v>
      </c>
      <c r="E206" s="342">
        <f>+[1]Margen!$E$3</f>
        <v>5000</v>
      </c>
      <c r="F206" s="342" t="str">
        <f>+[1]Margen!$F$3</f>
        <v>A</v>
      </c>
      <c r="G206" s="342" t="str">
        <f>+[1]Margen!$G$3</f>
        <v>B</v>
      </c>
      <c r="H206" s="342" t="str">
        <f>+[1]Margen!$H$3</f>
        <v>C</v>
      </c>
      <c r="I206" s="342" t="str">
        <f>+[1]Margen!$I$3</f>
        <v>&gt;500</v>
      </c>
    </row>
    <row r="207" ht="15.75" spans="1:13">
      <c r="A207" s="514" t="s">
        <v>169</v>
      </c>
      <c r="B207" s="515">
        <f>+[1]Margen!$B$4</f>
        <v>7.5</v>
      </c>
      <c r="C207" s="515">
        <f>+[1]Margen!$C$4</f>
        <v>0</v>
      </c>
      <c r="D207" s="515">
        <f>+[1]Margen!$D$4</f>
        <v>0</v>
      </c>
      <c r="E207" s="515">
        <f>+[1]Margen!$E$4</f>
        <v>0</v>
      </c>
      <c r="F207" s="515">
        <f>+[1]Margen!$F$4</f>
        <v>0</v>
      </c>
      <c r="G207" s="515">
        <f>+[1]Margen!$G$4</f>
        <v>1.5</v>
      </c>
      <c r="H207" s="515">
        <f>+[1]Margen!$H$4</f>
        <v>3</v>
      </c>
      <c r="I207" s="515">
        <f>+[1]Margen!$I$4</f>
        <v>5</v>
      </c>
      <c r="M207"/>
    </row>
    <row r="208" ht="15.75" spans="1:13">
      <c r="A208" s="516" t="s">
        <v>170</v>
      </c>
      <c r="B208" s="515">
        <f>+[1]Margen!$B$5</f>
        <v>17.5</v>
      </c>
      <c r="C208" s="515">
        <f>+[1]Margen!$C$5</f>
        <v>0</v>
      </c>
      <c r="D208" s="515">
        <f>+[1]Margen!$D$5</f>
        <v>0</v>
      </c>
      <c r="E208" s="515">
        <f>+[1]Margen!$E$5</f>
        <v>0</v>
      </c>
      <c r="F208" s="515">
        <f>+[1]Margen!$F$5</f>
        <v>0</v>
      </c>
      <c r="G208" s="515">
        <f>+[1]Margen!$G$5</f>
        <v>1.5</v>
      </c>
      <c r="H208" s="515">
        <f>+[1]Margen!$H$5</f>
        <v>3</v>
      </c>
      <c r="I208" s="515">
        <f>+[1]Margen!$I$5</f>
        <v>5</v>
      </c>
      <c r="M208"/>
    </row>
    <row r="209" ht="15.75" spans="1:13">
      <c r="A209" s="517" t="s">
        <v>171</v>
      </c>
      <c r="B209" s="515">
        <f>+[1]Margen!$B$6</f>
        <v>25</v>
      </c>
      <c r="C209" s="515">
        <f>+[1]Margen!$C$6</f>
        <v>0</v>
      </c>
      <c r="D209" s="515">
        <f>+[1]Margen!$D$6</f>
        <v>0</v>
      </c>
      <c r="E209" s="515">
        <f>+[1]Margen!$E$6</f>
        <v>0</v>
      </c>
      <c r="F209" s="515">
        <f>+[1]Margen!$F$6</f>
        <v>0</v>
      </c>
      <c r="G209" s="515">
        <f>+[1]Margen!$G$6</f>
        <v>1.5</v>
      </c>
      <c r="H209" s="515">
        <f>+[1]Margen!$H$6</f>
        <v>3</v>
      </c>
      <c r="I209" s="515">
        <f>+[1]Margen!$I$6</f>
        <v>5</v>
      </c>
      <c r="M209"/>
    </row>
    <row r="210" ht="15.75" spans="1:13">
      <c r="A210" s="518" t="s">
        <v>172</v>
      </c>
      <c r="B210" s="515">
        <f>+[1]Margen!$B$7</f>
        <v>25</v>
      </c>
      <c r="C210" s="515">
        <f>+[1]Margen!$C$7</f>
        <v>0</v>
      </c>
      <c r="D210" s="515">
        <f>+[1]Margen!$D$7</f>
        <v>0</v>
      </c>
      <c r="E210" s="515">
        <f>+[1]Margen!$E$7</f>
        <v>0</v>
      </c>
      <c r="F210" s="515">
        <f>+[1]Margen!$F$7</f>
        <v>0</v>
      </c>
      <c r="G210" s="515">
        <f>+[1]Margen!$G$7</f>
        <v>1.5</v>
      </c>
      <c r="H210" s="515">
        <f>+[1]Margen!$H$7</f>
        <v>3</v>
      </c>
      <c r="I210" s="515">
        <f>+[1]Margen!$I$7</f>
        <v>5</v>
      </c>
      <c r="M210"/>
    </row>
    <row r="211" ht="15.75" spans="1:13">
      <c r="A211" s="519" t="s">
        <v>173</v>
      </c>
      <c r="B211" s="515">
        <f>+[1]Margen!$B$8</f>
        <v>20</v>
      </c>
      <c r="C211" s="515">
        <f>+[1]Margen!$C$8</f>
        <v>0</v>
      </c>
      <c r="D211" s="515">
        <f>+[1]Margen!$D$8</f>
        <v>0</v>
      </c>
      <c r="E211" s="515">
        <f>+[1]Margen!$E$8</f>
        <v>0</v>
      </c>
      <c r="F211" s="515">
        <f>+[1]Margen!$F$8</f>
        <v>0</v>
      </c>
      <c r="G211" s="515">
        <f>+[1]Margen!$G$8</f>
        <v>1.5</v>
      </c>
      <c r="H211" s="515">
        <f>+[1]Margen!$H$8</f>
        <v>3</v>
      </c>
      <c r="I211" s="515">
        <f>+[1]Margen!$I$8</f>
        <v>5</v>
      </c>
      <c r="M211"/>
    </row>
    <row r="212" ht="15.75" spans="1:13">
      <c r="A212" s="519" t="s">
        <v>174</v>
      </c>
      <c r="B212" s="515">
        <f>+[1]Margen!$B$9</f>
        <v>30</v>
      </c>
      <c r="C212" s="515">
        <f>+[1]Margen!$C$9</f>
        <v>0</v>
      </c>
      <c r="D212" s="515">
        <f>+[1]Margen!$D$9</f>
        <v>0</v>
      </c>
      <c r="E212" s="515">
        <f>+[1]Margen!$E$9</f>
        <v>0</v>
      </c>
      <c r="F212" s="515">
        <f>+[1]Margen!$F$9</f>
        <v>0</v>
      </c>
      <c r="G212" s="515">
        <f>+[1]Margen!$G$9</f>
        <v>1.5</v>
      </c>
      <c r="H212" s="515">
        <f>+[1]Margen!$H$9</f>
        <v>3</v>
      </c>
      <c r="I212" s="515">
        <f>+[1]Margen!$I$9</f>
        <v>5</v>
      </c>
    </row>
    <row r="213" ht="15.75" spans="1:13">
      <c r="A213" s="519" t="s">
        <v>175</v>
      </c>
      <c r="B213" s="515">
        <f>+[1]Margen!$B$10</f>
        <v>2</v>
      </c>
      <c r="C213" s="515">
        <f>+[1]Margen!$C$10</f>
        <v>0</v>
      </c>
      <c r="D213" s="515">
        <f>+[1]Margen!$D$10</f>
        <v>-2.5</v>
      </c>
      <c r="E213" s="515">
        <f>+[1]Margen!$E$10</f>
        <v>-5</v>
      </c>
      <c r="F213" s="515">
        <f>+[1]Margen!$F$10</f>
        <v>0</v>
      </c>
      <c r="G213" s="515">
        <f>+[1]Margen!$G$10</f>
        <v>0</v>
      </c>
      <c r="H213" s="515">
        <f>+[1]Margen!$H$10</f>
        <v>0</v>
      </c>
      <c r="I213" s="515">
        <f>+[1]Margen!$I$10</f>
        <v>0</v>
      </c>
    </row>
    <row r="214" ht="15.75" spans="1:13">
      <c r="A214" s="437"/>
      <c r="B214" s="515"/>
      <c r="C214" s="515"/>
      <c r="D214" s="515"/>
      <c r="E214" s="515"/>
      <c r="F214" s="515"/>
      <c r="G214" s="515"/>
      <c r="H214" s="515"/>
      <c r="I214" s="515"/>
    </row>
    <row r="215" ht="15.75" spans="1:13">
      <c r="A215" s="520" t="s">
        <v>9</v>
      </c>
      <c r="B215" s="521"/>
      <c r="C215" s="521"/>
      <c r="D215" s="521"/>
      <c r="E215" s="521"/>
      <c r="F215" s="521"/>
      <c r="G215" s="521"/>
      <c r="H215" s="521"/>
      <c r="I215" s="522"/>
      <c r="J215" s="511" t="s">
        <v>161</v>
      </c>
      <c r="K215" s="512"/>
      <c r="L215" s="512"/>
      <c r="M215" s="513"/>
    </row>
    <row r="216" ht="15.75" spans="1:13">
      <c r="A216" s="342" t="s">
        <v>13</v>
      </c>
      <c r="B216" s="342">
        <f>+[1]Margen!$B$13</f>
        <v>500</v>
      </c>
      <c r="C216" s="342">
        <f>+[1]Margen!$C$13</f>
        <v>1000</v>
      </c>
      <c r="D216" s="342">
        <f>+[1]Margen!$D$13</f>
        <v>1500</v>
      </c>
      <c r="E216" s="342">
        <f>+[1]Margen!$E$13</f>
        <v>2000</v>
      </c>
      <c r="F216" s="342">
        <f>+[1]Margen!$F$13</f>
        <v>2500</v>
      </c>
      <c r="G216" s="342">
        <f>+[1]Margen!$G$13</f>
        <v>3000</v>
      </c>
      <c r="H216" s="342">
        <f>+[1]Margen!$H$13</f>
        <v>4000</v>
      </c>
      <c r="I216" s="342">
        <f>+[1]Margen!$I$13</f>
        <v>12000</v>
      </c>
      <c r="J216" s="342" t="str">
        <f>+[1]Margen!$F$3</f>
        <v>A</v>
      </c>
      <c r="K216" s="342" t="str">
        <f>+[1]Margen!$G$3</f>
        <v>B</v>
      </c>
      <c r="L216" s="342" t="str">
        <f>+[1]Margen!$H$3</f>
        <v>C</v>
      </c>
      <c r="M216" s="342" t="str">
        <f>+[1]Margen!$I$3</f>
        <v>&gt;500</v>
      </c>
    </row>
    <row r="217" ht="15.75" spans="1:13">
      <c r="A217" s="523" t="s">
        <v>176</v>
      </c>
      <c r="B217" s="515">
        <f>+[1]Margen!$B$14</f>
        <v>51.3</v>
      </c>
      <c r="C217" s="515">
        <f>+[1]Margen!$C$14</f>
        <v>49.4</v>
      </c>
      <c r="D217" s="515">
        <f>+[1]Margen!$D$14</f>
        <v>47.5</v>
      </c>
      <c r="E217" s="515">
        <f>+[1]Margen!$E$14</f>
        <v>45.6</v>
      </c>
      <c r="F217" s="515">
        <f>+[1]Margen!$F$14</f>
        <v>43.7</v>
      </c>
      <c r="G217" s="515">
        <f>+[1]Margen!$G$14</f>
        <v>41.8</v>
      </c>
      <c r="H217" s="515">
        <f>+[1]Margen!$H$14</f>
        <v>39.9</v>
      </c>
      <c r="I217" s="515">
        <f>+[1]Margen!$I$14</f>
        <v>38</v>
      </c>
      <c r="J217" s="515">
        <f>+[1]Margen!$J$14</f>
        <v>0</v>
      </c>
      <c r="K217" s="515">
        <f>+[1]Margen!$K$14</f>
        <v>1.5</v>
      </c>
      <c r="L217" s="515">
        <f>+[1]Margen!$L$14</f>
        <v>3</v>
      </c>
      <c r="M217" s="515">
        <f>+[1]Margen!$M$14</f>
        <v>5</v>
      </c>
    </row>
    <row r="218" ht="15.75" spans="1:13">
      <c r="A218" s="437" t="s">
        <v>177</v>
      </c>
      <c r="B218" s="515">
        <f>+[1]Margen!$B$15</f>
        <v>51.3</v>
      </c>
      <c r="C218" s="515">
        <f>+[1]Margen!$C$15</f>
        <v>49.4</v>
      </c>
      <c r="D218" s="515">
        <f>+[1]Margen!$D$15</f>
        <v>47.5</v>
      </c>
      <c r="E218" s="515">
        <f>+[1]Margen!$E$15</f>
        <v>45.6</v>
      </c>
      <c r="F218" s="515">
        <f>+[1]Margen!$F$15</f>
        <v>43.7</v>
      </c>
      <c r="G218" s="515">
        <f>+[1]Margen!$G$15</f>
        <v>41.8</v>
      </c>
      <c r="H218" s="515">
        <f>+[1]Margen!$H$15</f>
        <v>39.9</v>
      </c>
      <c r="I218" s="515">
        <f>+[1]Margen!$I$15</f>
        <v>38</v>
      </c>
      <c r="J218" s="515">
        <f>+[1]Margen!$J$15</f>
        <v>0</v>
      </c>
      <c r="K218" s="515">
        <f>+[1]Margen!$K$15</f>
        <v>1.5</v>
      </c>
      <c r="L218" s="515">
        <f>+[1]Margen!$L$15</f>
        <v>3</v>
      </c>
      <c r="M218" s="515">
        <f>+[1]Margen!$M$15</f>
        <v>5</v>
      </c>
    </row>
    <row r="219" ht="15.75" spans="1:13">
      <c r="A219" s="523" t="s">
        <v>178</v>
      </c>
      <c r="B219" s="515">
        <f>+[1]Margen!$B$16</f>
        <v>64.8</v>
      </c>
      <c r="C219" s="515">
        <f>+[1]Margen!$C$16</f>
        <v>62.4</v>
      </c>
      <c r="D219" s="515">
        <f>+[1]Margen!$D$16</f>
        <v>60</v>
      </c>
      <c r="E219" s="515">
        <f>+[1]Margen!$E$16</f>
        <v>57.6</v>
      </c>
      <c r="F219" s="515">
        <f>+[1]Margen!$F$16</f>
        <v>55.2</v>
      </c>
      <c r="G219" s="515">
        <f>+[1]Margen!$G$16</f>
        <v>52.8</v>
      </c>
      <c r="H219" s="515">
        <f>+[1]Margen!$H$16</f>
        <v>50.4</v>
      </c>
      <c r="I219" s="515">
        <f>+[1]Margen!$I$16</f>
        <v>48</v>
      </c>
      <c r="J219" s="515">
        <f>+[1]Margen!$J$16</f>
        <v>0</v>
      </c>
      <c r="K219" s="515">
        <f>+[1]Margen!$K$16</f>
        <v>1.5</v>
      </c>
      <c r="L219" s="515">
        <f>+[1]Margen!$L$16</f>
        <v>3</v>
      </c>
      <c r="M219" s="515">
        <f>+[1]Margen!$M$16</f>
        <v>5</v>
      </c>
    </row>
    <row r="220" ht="15.75" spans="1:13">
      <c r="A220" s="437" t="s">
        <v>144</v>
      </c>
      <c r="B220" s="515">
        <f>+[1]Margen!$B$17</f>
        <v>51.3</v>
      </c>
      <c r="C220" s="515">
        <f>+[1]Margen!$C$17</f>
        <v>49.4</v>
      </c>
      <c r="D220" s="515">
        <f>+[1]Margen!$D$17</f>
        <v>47.5</v>
      </c>
      <c r="E220" s="515">
        <f>+[1]Margen!$E$17</f>
        <v>45.6</v>
      </c>
      <c r="F220" s="515">
        <f>+[1]Margen!$F$17</f>
        <v>43.7</v>
      </c>
      <c r="G220" s="515">
        <f>+[1]Margen!$G$17</f>
        <v>41.8</v>
      </c>
      <c r="H220" s="515">
        <f>+[1]Margen!$H$17</f>
        <v>39.9</v>
      </c>
      <c r="I220" s="515">
        <f>+[1]Margen!$I$17</f>
        <v>38</v>
      </c>
      <c r="J220" s="515">
        <f>+[1]Margen!$J$17</f>
        <v>0</v>
      </c>
      <c r="K220" s="515">
        <f>+[1]Margen!$K$17</f>
        <v>1.5</v>
      </c>
      <c r="L220" s="515">
        <f>+[1]Margen!$L$17</f>
        <v>3</v>
      </c>
      <c r="M220" s="515">
        <f>+[1]Margen!$M$17</f>
        <v>5</v>
      </c>
    </row>
    <row r="221" spans="1:13">
      <c r="C221" s="168" t="s">
        <v>179</v>
      </c>
    </row>
  </sheetData>
  <mergeCells count="50">
    <mergeCell ref="W15:X15"/>
    <mergeCell ref="A81:J81"/>
    <mergeCell ref="A82:J82"/>
    <mergeCell ref="A83:J83"/>
    <mergeCell ref="B85:O85"/>
    <mergeCell ref="N86:O86"/>
    <mergeCell ref="F105:I105"/>
    <mergeCell ref="C136:D136"/>
    <mergeCell ref="E136:F136"/>
    <mergeCell ref="G136:H136"/>
    <mergeCell ref="I136:J136"/>
    <mergeCell ref="K136:L136"/>
    <mergeCell ref="M136:N136"/>
    <mergeCell ref="Q136:R136"/>
    <mergeCell ref="B159:E159"/>
    <mergeCell ref="A198:B198"/>
    <mergeCell ref="A204:F204"/>
    <mergeCell ref="B205:E205"/>
    <mergeCell ref="F205:I205"/>
    <mergeCell ref="A215:I215"/>
    <mergeCell ref="J215:M215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37:L138"/>
    <mergeCell ref="M137:M138"/>
    <mergeCell ref="N137:N138"/>
    <mergeCell ref="O137:O138"/>
    <mergeCell ref="P137:P138"/>
    <mergeCell ref="Q137:Q138"/>
    <mergeCell ref="R137:R138"/>
    <mergeCell ref="S137:S138"/>
    <mergeCell ref="T137:T138"/>
    <mergeCell ref="U137:U138"/>
    <mergeCell ref="V137:V138"/>
    <mergeCell ref="X137:X138"/>
    <mergeCell ref="A137:B138"/>
    <mergeCell ref="A1:M2"/>
    <mergeCell ref="A12:M13"/>
    <mergeCell ref="A76:M77"/>
    <mergeCell ref="A119:M120"/>
    <mergeCell ref="A134:M135"/>
    <mergeCell ref="A157:M158"/>
    <mergeCell ref="A130:M131"/>
  </mergeCells>
  <pageMargins left="0.7" right="0.7" top="0.75" bottom="0.75" header="0.3" footer="0.3"/>
  <pageSetup paperSize="9" orientation="portrait" horizontalDpi="1200" verticalDpi="12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S38"/>
  <sheetViews>
    <sheetView zoomScale="170" zoomScaleNormal="170" workbookViewId="0">
      <selection activeCell="F16" sqref="F16:G17"/>
    </sheetView>
  </sheetViews>
  <sheetFormatPr defaultColWidth="11" defaultRowHeight="15"/>
  <cols>
    <col min="1" max="1" width="9.82857142857143" customWidth="1"/>
    <col min="2" max="2" width="7.33333333333333" style="168" customWidth="1"/>
    <col min="3" max="3" width="5.82857142857143" customWidth="1"/>
    <col min="4" max="4" width="6.66666666666667" customWidth="1"/>
    <col min="6" max="6" width="7.5047619047619" customWidth="1"/>
    <col min="7" max="7" width="7.16190476190476" customWidth="1"/>
    <col min="8" max="8" width="3.5047619047619" customWidth="1"/>
    <col min="9" max="10" width="9.16190476190476" style="168" customWidth="1"/>
    <col min="11" max="11" width="14.5047619047619" customWidth="1"/>
    <col min="12" max="12" width="7.16190476190476" customWidth="1"/>
    <col min="13" max="13" width="4.5047619047619" customWidth="1"/>
    <col min="14" max="14" width="10.1619047619048" customWidth="1"/>
    <col min="15" max="15" width="4.66666666666667" customWidth="1"/>
    <col min="16" max="16" width="8" customWidth="1"/>
    <col min="18" max="18" width="12.1619047619048" customWidth="1"/>
    <col min="20" max="20" width="2.5047619047619" customWidth="1"/>
  </cols>
  <sheetData>
    <row r="1" ht="27" spans="1:19">
      <c r="A1" s="1" t="s">
        <v>180</v>
      </c>
      <c r="B1" s="2"/>
      <c r="C1" s="3" t="s">
        <v>161</v>
      </c>
      <c r="D1" s="3"/>
      <c r="E1" s="3"/>
      <c r="F1" s="3"/>
      <c r="G1" s="3"/>
      <c r="H1" s="3"/>
      <c r="I1" s="3"/>
      <c r="J1" s="3"/>
      <c r="K1" s="4" t="s">
        <v>163</v>
      </c>
      <c r="L1" s="5" t="s">
        <v>181</v>
      </c>
      <c r="M1" s="6"/>
      <c r="N1" s="283">
        <v>0</v>
      </c>
      <c r="O1" s="8"/>
      <c r="P1" s="8"/>
      <c r="Q1" s="9" t="s">
        <v>160</v>
      </c>
      <c r="R1" s="10"/>
      <c r="S1" s="11" t="s">
        <v>162</v>
      </c>
    </row>
    <row r="2" spans="1:19">
      <c r="A2" s="13" t="s">
        <v>182</v>
      </c>
      <c r="B2" s="14"/>
      <c r="C2" s="15" t="s">
        <v>183</v>
      </c>
      <c r="D2" s="16"/>
      <c r="E2" s="16"/>
      <c r="F2" s="16"/>
      <c r="G2" s="16"/>
      <c r="H2" s="16"/>
      <c r="I2" s="16"/>
      <c r="J2" s="17"/>
      <c r="K2" s="18" t="s">
        <v>184</v>
      </c>
      <c r="L2" s="19"/>
      <c r="M2" s="20" t="s">
        <v>185</v>
      </c>
      <c r="N2" s="20"/>
      <c r="O2" s="21" t="s">
        <v>186</v>
      </c>
      <c r="P2" s="22"/>
      <c r="Q2" s="284">
        <f ca="1">TODAY()</f>
        <v>46286</v>
      </c>
      <c r="R2" s="5" t="s">
        <v>181</v>
      </c>
      <c r="S2" s="25">
        <v>0</v>
      </c>
    </row>
    <row r="3" spans="1:19">
      <c r="A3" s="26"/>
      <c r="B3" s="27" t="s">
        <v>187</v>
      </c>
      <c r="C3" s="14"/>
      <c r="D3" s="28">
        <v>44</v>
      </c>
      <c r="E3" s="29"/>
      <c r="F3" s="30" t="s">
        <v>188</v>
      </c>
      <c r="G3" s="31" t="s">
        <v>189</v>
      </c>
      <c r="H3" s="31"/>
      <c r="I3" s="31"/>
      <c r="J3" s="52">
        <v>2</v>
      </c>
      <c r="K3" s="30" t="s">
        <v>188</v>
      </c>
      <c r="L3" s="31" t="s">
        <v>190</v>
      </c>
      <c r="M3" s="31"/>
      <c r="N3" s="285">
        <v>25</v>
      </c>
      <c r="O3" s="30" t="s">
        <v>188</v>
      </c>
      <c r="P3" s="27" t="s">
        <v>191</v>
      </c>
      <c r="Q3" s="14"/>
      <c r="R3" s="34">
        <v>2</v>
      </c>
      <c r="S3" s="286" t="s">
        <v>188</v>
      </c>
    </row>
    <row r="4" spans="1:19">
      <c r="A4" s="36" t="s">
        <v>19</v>
      </c>
      <c r="B4" s="37" t="s">
        <v>72</v>
      </c>
      <c r="C4" s="38"/>
      <c r="D4" s="39" t="s">
        <v>65</v>
      </c>
      <c r="E4" s="40"/>
      <c r="F4" s="34">
        <v>20</v>
      </c>
      <c r="G4" s="30" t="s">
        <v>192</v>
      </c>
      <c r="H4" s="44"/>
      <c r="I4" s="44"/>
      <c r="J4" s="44"/>
      <c r="K4" s="44"/>
      <c r="L4" s="44"/>
      <c r="M4" s="44"/>
      <c r="N4" s="44"/>
      <c r="O4" s="44"/>
      <c r="P4" s="287">
        <f>+N3*R3</f>
        <v>50</v>
      </c>
      <c r="Q4" s="14" t="s">
        <v>193</v>
      </c>
      <c r="R4" s="71">
        <f>IF(P4=Tabla!$L$87,Tabla!$L$87,IF(P4=Tabla!$L$88,Tabla!$L$88,IF(P4=Tabla!$L$89,Tabla!$L$89,IF(P4=Tabla!$L$90,Tabla!$L$90,IF(P4=Tabla!$L$91,Tabla!$L$91,IF(P4=Tabla!$L$92,Tabla!$L$92,IF(P4=Tabla!$L$93,Tabla!$L$93,IF(P4=Tabla!$L$94,Tabla!$L$94,IF(P4=Tabla!$L$95,Tabla!$L$95,IF(P4=Tabla!$L$96,Tabla!$L$96,IF(P4=Tabla!$L$97,Tabla!$L$97,IF(P4=Tabla!$L$98,Tabla!$L$98,IF(P4=Tabla!$L$99,Tabla!$L$99,IF(P4=Tabla!$L$100,Tabla!$L$100,IF(P4=Tabla!$L$101,Tabla!$L$101,IF(P4=Tabla!$L$102,Tabla!$L$102,IF(P4=Tabla!$L$103,Tabla!$L$103,IF(P4=Tabla!$L$104,Tabla!$L$104,IF(P4=Tabla!$L$105,Tabla!$L$105,"NO DISPBLE")))))))))))))))))))</f>
        <v>50</v>
      </c>
      <c r="S4" s="286" t="s">
        <v>188</v>
      </c>
    </row>
    <row r="5" spans="1:19">
      <c r="A5" s="45"/>
      <c r="B5" s="37" t="s">
        <v>24</v>
      </c>
      <c r="C5" s="38"/>
      <c r="D5" s="46" t="s">
        <v>65</v>
      </c>
      <c r="E5" s="47"/>
      <c r="F5" s="34">
        <v>20</v>
      </c>
      <c r="G5" s="30" t="s">
        <v>192</v>
      </c>
      <c r="H5" s="31" t="s">
        <v>194</v>
      </c>
      <c r="I5" s="27"/>
      <c r="J5" s="288">
        <v>67000</v>
      </c>
      <c r="K5" s="30" t="s">
        <v>195</v>
      </c>
      <c r="L5" s="27" t="s">
        <v>196</v>
      </c>
      <c r="M5" s="14"/>
      <c r="N5" s="34" t="s">
        <v>106</v>
      </c>
      <c r="O5" s="34">
        <v>6</v>
      </c>
      <c r="P5" s="27" t="s">
        <v>197</v>
      </c>
      <c r="Q5" s="14"/>
      <c r="R5" s="70">
        <v>35</v>
      </c>
      <c r="S5" s="286" t="s">
        <v>188</v>
      </c>
    </row>
    <row r="6" customHeight="1" spans="1:19">
      <c r="A6" s="49"/>
      <c r="B6" s="37" t="s">
        <v>90</v>
      </c>
      <c r="C6" s="38"/>
      <c r="D6" s="39" t="s">
        <v>90</v>
      </c>
      <c r="E6" s="40"/>
      <c r="F6" s="34">
        <v>0</v>
      </c>
      <c r="G6" s="30" t="s">
        <v>192</v>
      </c>
      <c r="H6" s="31" t="s">
        <v>198</v>
      </c>
      <c r="I6" s="31"/>
      <c r="J6" s="50">
        <f>(SUM(L15:L17))*(J5/1000)</f>
        <v>2146.144</v>
      </c>
      <c r="K6" s="51" t="s">
        <v>199</v>
      </c>
      <c r="L6" s="27" t="s">
        <v>200</v>
      </c>
      <c r="M6" s="14"/>
      <c r="N6" s="285">
        <v>25</v>
      </c>
      <c r="O6" s="30" t="s">
        <v>201</v>
      </c>
      <c r="P6" s="27" t="s">
        <v>202</v>
      </c>
      <c r="Q6" s="14"/>
      <c r="R6" s="34">
        <v>1</v>
      </c>
      <c r="S6" s="289" t="s">
        <v>203</v>
      </c>
    </row>
    <row r="7" spans="1:19">
      <c r="A7" s="53"/>
      <c r="B7" s="27" t="s">
        <v>104</v>
      </c>
      <c r="C7" s="14"/>
      <c r="D7" s="34" t="s">
        <v>105</v>
      </c>
      <c r="E7" s="27" t="s">
        <v>204</v>
      </c>
      <c r="F7" s="34" t="s">
        <v>106</v>
      </c>
      <c r="G7" s="54" t="s">
        <v>205</v>
      </c>
      <c r="H7" s="55"/>
      <c r="I7" s="56"/>
      <c r="J7" s="52" t="s">
        <v>105</v>
      </c>
      <c r="K7" s="30"/>
      <c r="L7" s="290" t="s">
        <v>206</v>
      </c>
      <c r="M7" s="290"/>
      <c r="N7" s="52" t="s">
        <v>106</v>
      </c>
      <c r="O7" s="44"/>
      <c r="P7" s="27" t="s">
        <v>207</v>
      </c>
      <c r="Q7" s="14"/>
      <c r="R7" s="34">
        <v>0</v>
      </c>
      <c r="S7" s="35">
        <v>100</v>
      </c>
    </row>
    <row r="8" spans="1:19">
      <c r="A8" s="53"/>
      <c r="B8" s="27" t="s">
        <v>208</v>
      </c>
      <c r="C8" s="14"/>
      <c r="D8" s="34" t="s">
        <v>105</v>
      </c>
      <c r="E8" s="124">
        <f>+D3*J3</f>
        <v>88</v>
      </c>
      <c r="F8" s="33" t="s">
        <v>188</v>
      </c>
      <c r="G8" s="31" t="s">
        <v>209</v>
      </c>
      <c r="H8" s="31"/>
      <c r="I8" s="31"/>
      <c r="J8" s="52">
        <v>0</v>
      </c>
      <c r="K8" s="30" t="s">
        <v>188</v>
      </c>
      <c r="L8" s="46" t="s">
        <v>210</v>
      </c>
      <c r="M8" s="47"/>
      <c r="N8" s="237">
        <f>((IF(B15=Tabla!A16,Tabla!C16,IF(B15=Tabla!$A$16,Tabla!$C$16,IF(B15=Tabla!$A$17,Tabla!$C$17,IF(B15=Tabla!$A$18,Tabla!$C$18,IF(B15=Tabla!$A$19,Tabla!$C$19,IF(B15=Tabla!$A$20,Tabla!$C$20,IF(B15=Tabla!$A$21,Tabla!$C$21,IF(B15=Tabla!$A$22,Tabla!$C$22,IF(B15=Tabla!$A$23,Tabla!$C$23,IF(B15=Tabla!$A$24,Tabla!$C$24,IF(B15=Tabla!$A$25,Tabla!$C$25,IF(B15=Tabla!$A$26,Tabla!$C$26,IF(B15=Tabla!$A$27,Tabla!$C$27,IF(B15=Tabla!$A$28,Tabla!$C$28,IF(B15=Tabla!$A$29,Tabla!$C$29,IF(B15=Tabla!$A$30,Tabla!$C$30,IF(B15=Tabla!$A$31,Tabla!$C$31,IF(B15=Tabla!$A$32,Tabla!$C$32,IF(B15=Tabla!$A$33,Tabla!$C$33,””))))))))))))))))))))*(H15/1000)*(J8/100)*E15)*F15</f>
        <v>0</v>
      </c>
      <c r="O8" s="44"/>
      <c r="P8" s="27" t="s">
        <v>211</v>
      </c>
      <c r="Q8" s="14"/>
      <c r="R8" s="34">
        <v>8</v>
      </c>
      <c r="S8" s="72">
        <f>+R8*(R6+R7)</f>
        <v>8</v>
      </c>
    </row>
    <row r="9" ht="15.75" spans="1:19">
      <c r="A9" s="53"/>
      <c r="B9" s="63" t="s">
        <v>212</v>
      </c>
      <c r="C9" s="64"/>
      <c r="D9" s="291">
        <f>+E8+2</f>
        <v>90</v>
      </c>
      <c r="E9" s="65"/>
      <c r="F9" s="66" t="s">
        <v>188</v>
      </c>
      <c r="G9" s="31" t="s">
        <v>213</v>
      </c>
      <c r="H9" s="31"/>
      <c r="I9" s="31"/>
      <c r="J9" s="52">
        <v>0</v>
      </c>
      <c r="K9" s="30" t="s">
        <v>188</v>
      </c>
      <c r="L9" s="46" t="s">
        <v>210</v>
      </c>
      <c r="M9" s="47"/>
      <c r="N9" s="237">
        <f>((IF(B16=Tabla!A17,Tabla!C17,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)*(H16/1000)*(J9/100)*E16)*F16</f>
        <v>0</v>
      </c>
      <c r="O9" s="44"/>
      <c r="P9" s="63" t="s">
        <v>214</v>
      </c>
      <c r="Q9" s="64"/>
      <c r="R9" s="292">
        <v>100</v>
      </c>
      <c r="S9" s="293"/>
    </row>
    <row r="10" ht="15.75" spans="1:19">
      <c r="A10" s="73"/>
      <c r="B10" s="74"/>
      <c r="C10" s="74"/>
      <c r="D10" s="74"/>
      <c r="E10" s="74"/>
      <c r="F10" s="75"/>
      <c r="G10" s="64" t="s">
        <v>215</v>
      </c>
      <c r="H10" s="294"/>
      <c r="I10" s="294"/>
      <c r="J10" s="295">
        <v>0</v>
      </c>
      <c r="K10" s="66" t="s">
        <v>188</v>
      </c>
      <c r="L10" s="296" t="s">
        <v>210</v>
      </c>
      <c r="M10" s="297"/>
      <c r="N10" s="298">
        <f>((IF(B17=Tabla!A18,Tabla!C18,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)*(H17/1000)*(J10/100)*E17)*F17</f>
        <v>0</v>
      </c>
      <c r="O10" s="44"/>
      <c r="P10" s="81" t="s">
        <v>216</v>
      </c>
      <c r="Q10" s="34">
        <v>1</v>
      </c>
      <c r="R10" s="34" t="s">
        <v>217</v>
      </c>
      <c r="S10" s="35">
        <v>3500</v>
      </c>
    </row>
    <row r="11" ht="20" customHeight="1" spans="1:19">
      <c r="A11" s="83"/>
      <c r="B11" s="84"/>
      <c r="C11" s="84"/>
      <c r="D11" s="84"/>
      <c r="E11" s="84"/>
      <c r="F11" s="85"/>
      <c r="G11" s="86" t="s">
        <v>218</v>
      </c>
      <c r="H11" s="86"/>
      <c r="I11" s="86"/>
      <c r="J11" s="86"/>
      <c r="K11" s="86"/>
      <c r="L11" s="86"/>
      <c r="M11" s="86"/>
      <c r="N11" s="86"/>
      <c r="O11" s="92"/>
      <c r="P11" s="299" t="s">
        <v>219</v>
      </c>
      <c r="Q11" s="300">
        <f>+P36</f>
        <v>7.35148600931265</v>
      </c>
      <c r="R11" s="301"/>
      <c r="S11" s="302"/>
    </row>
    <row r="12" ht="20" customHeight="1" spans="1:19">
      <c r="A12" s="303"/>
      <c r="B12" s="304"/>
      <c r="C12" s="304"/>
      <c r="D12" s="304"/>
      <c r="E12" s="304"/>
      <c r="F12" s="305"/>
      <c r="G12" s="86" t="s">
        <v>220</v>
      </c>
      <c r="H12" s="86"/>
      <c r="I12" s="86"/>
      <c r="J12" s="86"/>
      <c r="K12" s="91">
        <v>30</v>
      </c>
      <c r="L12" s="86" t="s">
        <v>221</v>
      </c>
      <c r="M12" s="92"/>
      <c r="N12" s="306">
        <f>INDEX(Tabla!$B$199:$B$201,MATCH(K12,Tabla!$A$199:$A$201,0))/100</f>
        <v>0.0416666666666667</v>
      </c>
      <c r="O12" s="265"/>
      <c r="P12" s="87" t="s">
        <v>219</v>
      </c>
      <c r="Q12" s="95">
        <f>+P38</f>
        <v>7.65779792636735</v>
      </c>
      <c r="R12" s="96"/>
      <c r="S12" s="302"/>
    </row>
    <row r="13" ht="16" customHeight="1" spans="1:19">
      <c r="A13" s="307"/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9"/>
    </row>
    <row r="14" ht="49" customHeight="1" spans="1:19">
      <c r="A14" s="102"/>
      <c r="B14" s="103" t="s">
        <v>222</v>
      </c>
      <c r="C14" s="104"/>
      <c r="D14" s="105"/>
      <c r="E14" s="102" t="s">
        <v>223</v>
      </c>
      <c r="F14" s="106" t="s">
        <v>224</v>
      </c>
      <c r="G14" s="107"/>
      <c r="H14" s="103" t="s">
        <v>225</v>
      </c>
      <c r="I14" s="105"/>
      <c r="J14" s="108" t="s">
        <v>226</v>
      </c>
      <c r="K14" s="102" t="s">
        <v>227</v>
      </c>
      <c r="L14" s="102" t="s">
        <v>227</v>
      </c>
      <c r="M14" s="106" t="s">
        <v>228</v>
      </c>
      <c r="N14" s="108"/>
      <c r="O14" s="106" t="s">
        <v>229</v>
      </c>
      <c r="P14" s="108"/>
      <c r="Q14" s="106" t="s">
        <v>230</v>
      </c>
      <c r="R14" s="108"/>
      <c r="S14" s="179"/>
    </row>
    <row r="15" ht="15.75" spans="1:19">
      <c r="A15" s="109">
        <v>1</v>
      </c>
      <c r="B15" s="110" t="str">
        <f>+D4</f>
        <v>BoppCristal</v>
      </c>
      <c r="C15" s="110"/>
      <c r="D15" s="110"/>
      <c r="E15" s="111">
        <f>+F4</f>
        <v>20</v>
      </c>
      <c r="F15" s="112">
        <f>(IF(B15=Tabla!$A$16,Tabla!$D$16,IF(B15=Tabla!$A$17,Tabla!$D$17,IF(B15=Tabla!$A$18,Tabla!$D$18,IF(B15=Tabla!$A$19,Tabla!$D$19,IF(B15=Tabla!$A$20,Tabla!$D$20,IF(B15=Tabla!$A$21,Tabla!$D$21,IF(B15=Tabla!$A$22,Tabla!$D$22,IF(B15=Tabla!$A$23,Tabla!$D$23,IF(B15=Tabla!$A$24,Tabla!$D$24,IF(B15=Tabla!$A$25,Tabla!$D$25,IF(B15=Tabla!$A$26,Tabla!$D$26,IF(B15=Tabla!$A$27,Tabla!$D$27,IF(B15=Tabla!$A$28,Tabla!$D$28,IF(B15=Tabla!$A$29,Tabla!$D$29,IF(B15=Tabla!$A$30,Tabla!$D$30,IF(B15=Tabla!$A$31,Tabla!$D$31,IF(B15=Tabla!$A$32,Tabla!$D$32,IF(B15=Tabla!$A$33,Tabla!$D$33)))))))))))))))))))*A15</f>
        <v>3.75</v>
      </c>
      <c r="G15" s="113"/>
      <c r="H15" s="114">
        <f>+J5+(1500*(R6+R7))</f>
        <v>68500</v>
      </c>
      <c r="I15" s="114"/>
      <c r="J15" s="115">
        <f>(IF(B15=Tabla!$A$16,Tabla!$C$16,IF(B15=Tabla!$A$17,Tabla!$C$17,IF(B15=Tabla!$A$18,Tabla!$C$18,IF(B15=Tabla!$A$19,Tabla!$C$19,IF(B15=Tabla!$A$20,Tabla!$C$20,IF(B15=Tabla!$A$21,Tabla!$C$21,IF(B15=Tabla!$A$22,Tabla!$C$22,IF(B15=Tabla!$A$23,Tabla!$C$23,IF(B15=Tabla!$A$24,Tabla!$C$24,IF(B15=Tabla!$A$25,Tabla!$C$25,IF(B15=Tabla!$A$26,Tabla!$C$26,IF(B15=Tabla!$A$27,Tabla!$C$27,IF(B15=Tabla!$A$28,Tabla!$C$28,IF(B15=Tabla!$A$29,Tabla!$C$29,IF(B15=Tabla!$A$30,Tabla!$C$30,IF(B15=Tabla!$A$31,Tabla!$C$31,IF(B15=Tabla!$A$32,Tabla!$C$32,IF(B15=Tabla!$A$33,Tabla!$C$33,””)))))))))))))))))))*(H15/1000)*((D9+J8)/100)*E15</f>
        <v>1122.03</v>
      </c>
      <c r="K15" s="116">
        <f>(IF(B15=Tabla!$A$16,Tabla!$C$16,IF(B15=Tabla!$A$17,Tabla!$C$17,IF(B15=Tabla!$A$18,Tabla!$C$18,IF(B15=Tabla!$A$19,Tabla!$C$19,IF(B15=Tabla!$A$20,Tabla!$C$20,IF(B15=Tabla!$A$21,Tabla!$C$21,IF(B15=Tabla!$A$22,Tabla!$C$22,IF(B15=Tabla!$A$23,Tabla!$C$23,IF(B15=Tabla!$A$24,Tabla!$C$24,IF(B15=Tabla!$A$25,Tabla!$C$25,IF(B15=Tabla!$A$26,Tabla!$C$26,IF(B15=Tabla!$A$27,Tabla!$C$27,IF(B15=Tabla!$A$28,Tabla!$C$28,IF(B15=Tabla!$A$29,Tabla!$C$29,IF(B15=Tabla!$A$30,Tabla!$C$30,IF(B15=Tabla!$A$31,Tabla!$C$31,IF(B15=Tabla!$A$32,Tabla!$C$32,IF(B15=Tabla!$A$33,Tabla!$C$33,””)))))))))))))))))))*E15*((D9+J8)/100)</f>
        <v>16.38</v>
      </c>
      <c r="L15" s="116">
        <f>(IF(B15=Tabla!$A$16,Tabla!$C$16,IF(B15=Tabla!$A$17,Tabla!$C$17,IF(B15=Tabla!$A$18,Tabla!$C$18,IF(B15=Tabla!$A$19,Tabla!$C$19,IF(B15=Tabla!$A$20,Tabla!$C$20,IF(B15=Tabla!$A$21,Tabla!$C$21,IF(B15=Tabla!$A$22,Tabla!$C$22,IF(B15=Tabla!$A$23,Tabla!$C$23,IF(B15=Tabla!$A$24,Tabla!$C$24,IF(B15=Tabla!$A$25,Tabla!$C$25,IF(B15=Tabla!$A$26,Tabla!$C$26,IF(B15=Tabla!$A$27,Tabla!$C$27,IF(B15=Tabla!$A$28,Tabla!$C$28,IF(B15=Tabla!$A$29,Tabla!$C$29,IF(B15=Tabla!$A$30,Tabla!$C$30,IF(B15=Tabla!$A$31,Tabla!$C$31,IF(B15=Tabla!$A$32,Tabla!$C$32,IF(B15=Tabla!$A$33,Tabla!$C$33,””)))))))))))))))))))*E15*(E8/100)</f>
        <v>16.016</v>
      </c>
      <c r="M15" s="117" t="s">
        <v>210</v>
      </c>
      <c r="N15" s="118">
        <f>((J15*F15)/(J5/1000))*A15</f>
        <v>62.8001865671642</v>
      </c>
      <c r="O15" s="119" t="s">
        <v>210</v>
      </c>
      <c r="P15" s="121">
        <f>N15/(SUM(L15:L17))</f>
        <v>1.96054528493894</v>
      </c>
      <c r="Q15" s="122">
        <f>(P15*100)/(P36-P30-P32)</f>
        <v>33.1288120280096</v>
      </c>
      <c r="R15" s="310" t="s">
        <v>123</v>
      </c>
      <c r="S15" s="179"/>
    </row>
    <row r="16" ht="15.75" spans="1:19">
      <c r="A16" s="109">
        <v>1</v>
      </c>
      <c r="B16" s="124" t="str">
        <f>+D5</f>
        <v>BoppCristal</v>
      </c>
      <c r="C16" s="125"/>
      <c r="D16" s="30"/>
      <c r="E16" s="111">
        <f>+F5</f>
        <v>20</v>
      </c>
      <c r="F16" s="112">
        <f>(IF(B16=Tabla!$A$16,Tabla!$D$16,IF(B16=Tabla!$A$17,Tabla!$D$17,IF(B16=Tabla!$A$18,Tabla!$D$18,IF(B16=Tabla!$A$19,Tabla!$D$19,IF(B16=Tabla!$A$20,Tabla!$D$20,IF(B16=Tabla!$A$21,Tabla!$D$21,IF(B16=Tabla!$A$22,Tabla!$D$22,IF(B16=Tabla!$A$23,Tabla!$D$23,IF(B16=Tabla!$A$24,Tabla!$D$24,IF(B16=Tabla!$A$25,Tabla!$D$25,IF(B16=Tabla!$A$26,Tabla!$D$26,IF(B16=Tabla!$A$27,Tabla!$D$27,IF(B16=Tabla!$A$28,Tabla!$D$28,IF(B16=Tabla!$A$29,Tabla!$D$29,IF(B16=Tabla!$A$30,Tabla!$D$30,IF(B16=Tabla!$A$31,Tabla!$D$31,IF(B16=Tabla!$A$32,Tabla!$D$32,IF(B16=Tabla!$A$33,Tabla!$D$33)))))))))))))))))))*A16</f>
        <v>3.75</v>
      </c>
      <c r="G16" s="113"/>
      <c r="H16" s="126">
        <f>+J5+100</f>
        <v>67100</v>
      </c>
      <c r="I16" s="126"/>
      <c r="J16" s="115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(H16/1000)*((D9+J9)/100)*E16</f>
        <v>1099.098</v>
      </c>
      <c r="K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(D9+J8)/100)</f>
        <v>16.38</v>
      </c>
      <c r="L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E8/100)</f>
        <v>16.016</v>
      </c>
      <c r="M16" s="127" t="s">
        <v>210</v>
      </c>
      <c r="N16" s="128">
        <f>((J16*F16)/(J5/1000))*A16</f>
        <v>61.5166791044776</v>
      </c>
      <c r="O16" s="119" t="s">
        <v>210</v>
      </c>
      <c r="P16" s="121">
        <f>N16/(SUM(L15:L17))</f>
        <v>1.92047574626866</v>
      </c>
      <c r="Q16" s="122">
        <f>(P16*100)/(P36-P30-P32)</f>
        <v>32.451726818678</v>
      </c>
      <c r="R16" s="310" t="s">
        <v>123</v>
      </c>
      <c r="S16" s="179"/>
    </row>
    <row r="17" ht="15.75" spans="1:19">
      <c r="A17" s="109">
        <v>1</v>
      </c>
      <c r="B17" s="110" t="str">
        <f>+D6</f>
        <v>Otro</v>
      </c>
      <c r="C17" s="110"/>
      <c r="D17" s="110"/>
      <c r="E17" s="111">
        <f>+F6</f>
        <v>0</v>
      </c>
      <c r="F17" s="112">
        <f>(IF(B17=Tabla!$A$16,Tabla!$D$16,IF(B17=Tabla!$A$17,Tabla!$D$17,IF(B17=Tabla!$A$18,Tabla!$D$18,IF(B17=Tabla!$A$19,Tabla!$D$19,IF(B17=Tabla!$A$20,Tabla!$D$20,IF(B17=Tabla!$A$21,Tabla!$D$21,IF(B17=Tabla!$A$22,Tabla!$D$22,IF(B17=Tabla!$A$23,Tabla!$D$23,IF(B17=Tabla!$A$24,Tabla!$D$24,IF(B17=Tabla!$A$25,Tabla!$D$25,IF(B17=Tabla!$A$26,Tabla!$D$26,IF(B17=Tabla!$A$27,Tabla!$D$27,IF(B17=Tabla!$A$28,Tabla!$D$28,IF(B17=Tabla!$A$29,Tabla!$D$29,IF(B17=Tabla!$A$30,Tabla!$D$30,IF(B17=Tabla!$A$31,Tabla!$D$31,IF(B17=Tabla!$A$32,Tabla!$D$32,IF(B17=Tabla!$A$33,Tabla!$D$33)))))))))))))))))))*A17</f>
        <v>0</v>
      </c>
      <c r="G17" s="113"/>
      <c r="H17" s="126">
        <f>+J5+100</f>
        <v>67100</v>
      </c>
      <c r="I17" s="126"/>
      <c r="J17" s="115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(H17/1000)*((D9+J10)/100)*E17</f>
        <v>0</v>
      </c>
      <c r="K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(D9+J8)/100)</f>
        <v>0</v>
      </c>
      <c r="L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E8/100)</f>
        <v>0</v>
      </c>
      <c r="M17" s="127" t="s">
        <v>210</v>
      </c>
      <c r="N17" s="128">
        <f>((J17*F17)/(J5/1000))*A17</f>
        <v>0</v>
      </c>
      <c r="O17" s="119" t="s">
        <v>210</v>
      </c>
      <c r="P17" s="121">
        <f>N17/(SUM(L15:L17))</f>
        <v>0</v>
      </c>
      <c r="Q17" s="122">
        <f>(P17*100)/(P36-P30-P32)</f>
        <v>0</v>
      </c>
      <c r="R17" s="310" t="s">
        <v>123</v>
      </c>
      <c r="S17" s="179"/>
    </row>
    <row r="18" spans="1:19">
      <c r="A18" s="129">
        <f>IF(D7="SI",1,0)</f>
        <v>1</v>
      </c>
      <c r="B18" s="130" t="s">
        <v>231</v>
      </c>
      <c r="C18" s="131"/>
      <c r="D18" s="132"/>
      <c r="E18" s="133" t="s">
        <v>232</v>
      </c>
      <c r="F18" s="133" t="s">
        <v>233</v>
      </c>
      <c r="G18" s="44"/>
      <c r="H18" s="44"/>
      <c r="I18" s="154"/>
      <c r="J18" s="133" t="s">
        <v>234</v>
      </c>
      <c r="K18" s="133"/>
      <c r="L18" s="136"/>
      <c r="M18" s="137"/>
      <c r="N18" s="138"/>
      <c r="O18" s="139"/>
      <c r="P18" s="141"/>
      <c r="Q18" s="122"/>
      <c r="R18" s="310"/>
      <c r="S18" s="179"/>
    </row>
    <row r="19" spans="1:19">
      <c r="A19" s="129">
        <f>IF(F7="SI",1,0)</f>
        <v>0</v>
      </c>
      <c r="B19" s="130" t="s">
        <v>235</v>
      </c>
      <c r="C19" s="131"/>
      <c r="D19" s="132"/>
      <c r="E19" s="142">
        <f>(Tabla!$D$5*R6+1*R7)*A18</f>
        <v>1.5</v>
      </c>
      <c r="F19" s="208">
        <f>(+J5/20000)*A18</f>
        <v>3.35</v>
      </c>
      <c r="G19" s="71">
        <f>(Tabla!$D$5/3)*A19</f>
        <v>0</v>
      </c>
      <c r="H19" s="46">
        <f>(J5/20000)*A19</f>
        <v>0</v>
      </c>
      <c r="I19" s="47"/>
      <c r="J19" s="144" t="s">
        <v>210</v>
      </c>
      <c r="K19" s="145">
        <f>+Tabla!$B$5</f>
        <v>58.46</v>
      </c>
      <c r="L19" s="146"/>
      <c r="M19" s="127" t="s">
        <v>210</v>
      </c>
      <c r="N19" s="128">
        <f>((E19+F19)*K19)/(J5/1000)*A18</f>
        <v>4.23180597014925</v>
      </c>
      <c r="O19" s="119" t="s">
        <v>210</v>
      </c>
      <c r="P19" s="121">
        <f>N19/(SUM(L15:L17))</f>
        <v>0.132111824742422</v>
      </c>
      <c r="Q19" s="122">
        <f>(P19*100)/(P36-P30-P32)</f>
        <v>2.23239312154187</v>
      </c>
      <c r="R19" s="310" t="s">
        <v>123</v>
      </c>
      <c r="S19" s="179"/>
    </row>
    <row r="20" spans="1:19">
      <c r="A20" s="129">
        <f>IF(D7="SI",1,0)</f>
        <v>1</v>
      </c>
      <c r="B20" s="147" t="s">
        <v>32</v>
      </c>
      <c r="C20" s="148"/>
      <c r="D20" s="149"/>
      <c r="E20" s="44"/>
      <c r="F20" s="44"/>
      <c r="G20" s="44"/>
      <c r="H20" s="44"/>
      <c r="I20" s="150">
        <f>(+L20/S8)*A19</f>
        <v>0</v>
      </c>
      <c r="J20" s="151" t="s">
        <v>236</v>
      </c>
      <c r="K20" s="152"/>
      <c r="L20" s="150">
        <f>(IF(B20=Tabla!$A$79,((Tabla!$B$79/2300/46)*(D9+J8)*P4),1)*0.75)</f>
        <v>12.7280245746692</v>
      </c>
      <c r="M20" s="127"/>
      <c r="N20" s="128"/>
      <c r="O20" s="119" t="s">
        <v>210</v>
      </c>
      <c r="P20" s="121">
        <f>((L20*S8)/J6)*A20</f>
        <v>0.0474451838261335</v>
      </c>
      <c r="Q20" s="122">
        <f>(P20*100)/(P36-P30-P32)</f>
        <v>0.801717047132267</v>
      </c>
      <c r="R20" s="310" t="s">
        <v>123</v>
      </c>
      <c r="S20" s="179"/>
    </row>
    <row r="21" spans="1:19">
      <c r="A21" s="129">
        <f>IF(D7="SI",1,0)</f>
        <v>1</v>
      </c>
      <c r="B21" s="147" t="s">
        <v>237</v>
      </c>
      <c r="C21" s="148"/>
      <c r="D21" s="149"/>
      <c r="E21" s="44"/>
      <c r="F21" s="44"/>
      <c r="G21" s="44"/>
      <c r="H21" s="44"/>
      <c r="I21" s="150">
        <f>(((Tabla!$B$90*0.8)+(Tabla!$B$93*0.2))/1000*2)*A19</f>
        <v>0</v>
      </c>
      <c r="J21" s="151" t="s">
        <v>238</v>
      </c>
      <c r="K21" s="152"/>
      <c r="L21" s="150">
        <f>(((((Tabla!$J$116-Tabla!$E$116)/1000*2)+((Tabla!$E$116/1000*2)*S7)/100)*R9)/100)</f>
        <v>0.0307111232064</v>
      </c>
      <c r="M21" s="127" t="s">
        <v>210</v>
      </c>
      <c r="N21" s="128">
        <f>(L21*((D9+J8)*10)*A21)*(R8/8)</f>
        <v>27.64001088576</v>
      </c>
      <c r="O21" s="119" t="s">
        <v>210</v>
      </c>
      <c r="P21" s="121">
        <f>N21/(SUM(L15:L17))</f>
        <v>0.862887452727273</v>
      </c>
      <c r="Q21" s="122">
        <f>(P21*100)/(P36-P30-P32)</f>
        <v>14.580859948675</v>
      </c>
      <c r="R21" s="310" t="s">
        <v>123</v>
      </c>
      <c r="S21" s="179"/>
    </row>
    <row r="22" spans="1:19">
      <c r="A22" s="129">
        <f>IF(D7="SI",1,0)</f>
        <v>1</v>
      </c>
      <c r="B22" s="147" t="s">
        <v>239</v>
      </c>
      <c r="C22" s="148"/>
      <c r="D22" s="149"/>
      <c r="E22" s="71">
        <f>IF(J5&gt;240000,120,IF(J5&gt;210000,96,IF(J5&gt;180000,72,IF(J5&gt;150000,64,IF(J5&gt;120000,48,IF(J5&gt;60000,24,IF(J5&gt;30000,16,12)))))))</f>
        <v>24</v>
      </c>
      <c r="G22" s="44"/>
      <c r="H22" s="44"/>
      <c r="I22" s="154"/>
      <c r="J22" s="151" t="s">
        <v>240</v>
      </c>
      <c r="K22" s="152"/>
      <c r="L22" s="150">
        <f>+Tabla!$B$99</f>
        <v>1.25</v>
      </c>
      <c r="M22" s="127" t="s">
        <v>210</v>
      </c>
      <c r="N22" s="155">
        <f>(+L22*E22/J5*1000)*A22</f>
        <v>0.447761194029851</v>
      </c>
      <c r="O22" s="119" t="s">
        <v>210</v>
      </c>
      <c r="P22" s="121">
        <f>N22/(SUM(L15:L17))</f>
        <v>0.0139785587546782</v>
      </c>
      <c r="Q22" s="122">
        <f>(P22*100)/(P36-P30-P32)</f>
        <v>0.236206247804494</v>
      </c>
      <c r="R22" s="310" t="s">
        <v>123</v>
      </c>
      <c r="S22" s="179"/>
    </row>
    <row r="23" spans="1:19">
      <c r="A23" s="129">
        <f>IF(J7="SI",1,IF(J7="BI",2,0))</f>
        <v>1</v>
      </c>
      <c r="B23" s="156" t="s">
        <v>241</v>
      </c>
      <c r="C23" s="157"/>
      <c r="D23" s="66"/>
      <c r="E23" s="71">
        <f>+Tabla!$D$6*(A23+A25)</f>
        <v>0.5</v>
      </c>
      <c r="F23" s="158">
        <f>+J5/Tabla!$C$6*(A24+A25)</f>
        <v>4.1875</v>
      </c>
      <c r="G23" s="44"/>
      <c r="H23" s="44"/>
      <c r="I23" s="154"/>
      <c r="J23" s="159" t="s">
        <v>210</v>
      </c>
      <c r="K23" s="160">
        <f>+Tabla!$B$6</f>
        <v>41.35</v>
      </c>
      <c r="L23" s="154"/>
      <c r="M23" s="127" t="s">
        <v>210</v>
      </c>
      <c r="N23" s="128">
        <f>((E23+F23)*K23)/(J5/1000)</f>
        <v>2.89295708955224</v>
      </c>
      <c r="O23" s="119" t="s">
        <v>210</v>
      </c>
      <c r="P23" s="121">
        <f>N23/(SUM(L15:L17))</f>
        <v>0.0903145944540534</v>
      </c>
      <c r="Q23" s="122">
        <f>(P23*100)/(P36-P30-P32)</f>
        <v>1.52611380417435</v>
      </c>
      <c r="R23" s="310" t="s">
        <v>123</v>
      </c>
      <c r="S23" s="179"/>
    </row>
    <row r="24" spans="1:19">
      <c r="A24" s="129">
        <f>IF(J7="SI",1,IF(J7="BI",2,0))</f>
        <v>1</v>
      </c>
      <c r="B24" s="161" t="s">
        <v>242</v>
      </c>
      <c r="C24" s="162"/>
      <c r="D24" s="163"/>
      <c r="E24" s="44"/>
      <c r="F24" s="44"/>
      <c r="G24" s="44"/>
      <c r="H24" s="44"/>
      <c r="I24" s="154"/>
      <c r="J24" s="151" t="s">
        <v>238</v>
      </c>
      <c r="K24" s="152"/>
      <c r="L24" s="150">
        <f>+(Tabla!$B$123/1000*0.55)+(Tabla!$B$124/1000*0.45)*2*A24</f>
        <v>0.014355</v>
      </c>
      <c r="M24" s="127" t="s">
        <v>210</v>
      </c>
      <c r="N24" s="128">
        <f>L24*((D9+J9+J10)*10)</f>
        <v>12.9195</v>
      </c>
      <c r="O24" s="119" t="s">
        <v>210</v>
      </c>
      <c r="P24" s="121">
        <f>(N24/(SUM(L15:L17))*A24)</f>
        <v>0.403331043956044</v>
      </c>
      <c r="Q24" s="122">
        <f>(P24*100)/(P36-P30-P32)</f>
        <v>6.81538878133937</v>
      </c>
      <c r="R24" s="310" t="s">
        <v>123</v>
      </c>
      <c r="S24" s="179"/>
    </row>
    <row r="25" spans="1:19">
      <c r="A25" s="129">
        <f>IF(N7="SI",1,IF(N7="BI",2,0))</f>
        <v>0</v>
      </c>
      <c r="B25" s="161" t="s">
        <v>243</v>
      </c>
      <c r="C25" s="162"/>
      <c r="D25" s="163"/>
      <c r="E25" s="44"/>
      <c r="F25" s="44"/>
      <c r="G25" s="44"/>
      <c r="H25" s="44"/>
      <c r="I25" s="154"/>
      <c r="J25" s="151" t="s">
        <v>238</v>
      </c>
      <c r="K25" s="152"/>
      <c r="L25" s="150">
        <f>+(Tabla!$B$127/1000)*2*A25</f>
        <v>0</v>
      </c>
      <c r="M25" s="127" t="s">
        <v>210</v>
      </c>
      <c r="N25" s="128">
        <f>L25*(D9*10)</f>
        <v>0</v>
      </c>
      <c r="O25" s="119" t="s">
        <v>210</v>
      </c>
      <c r="P25" s="121">
        <f>N25/(SUM(L15:L17))</f>
        <v>0</v>
      </c>
      <c r="Q25" s="122">
        <f>(P25*100)/(P36-P30-P32)</f>
        <v>0</v>
      </c>
      <c r="R25" s="310" t="s">
        <v>123</v>
      </c>
      <c r="S25" s="179"/>
    </row>
    <row r="26" spans="1:19">
      <c r="A26" s="129">
        <f>IF(D8="SI",1,0)</f>
        <v>1</v>
      </c>
      <c r="B26" s="165" t="s">
        <v>244</v>
      </c>
      <c r="C26" s="166"/>
      <c r="D26" s="167"/>
      <c r="E26" s="71">
        <f>+Tabla!$D$7</f>
        <v>0</v>
      </c>
      <c r="F26" s="158">
        <f>+J5/Tabla!$C$7</f>
        <v>8.375</v>
      </c>
      <c r="G26" s="44"/>
      <c r="H26" s="44"/>
      <c r="I26" s="154"/>
      <c r="J26" s="159" t="s">
        <v>210</v>
      </c>
      <c r="K26" s="160">
        <f>+Tabla!$B$7</f>
        <v>39.54</v>
      </c>
      <c r="L26" s="168"/>
      <c r="M26" s="127" t="s">
        <v>210</v>
      </c>
      <c r="N26" s="128">
        <f>((E26+F26)*K26)/(J5/1000)</f>
        <v>4.9425</v>
      </c>
      <c r="O26" s="119" t="s">
        <v>210</v>
      </c>
      <c r="P26" s="121">
        <f>(N26/(SUM(L15:L18)))*A26</f>
        <v>0.154298826173826</v>
      </c>
      <c r="Q26" s="122">
        <f>(P26*100)/(P36-P30-P32)</f>
        <v>2.60730361482796</v>
      </c>
      <c r="R26" s="310" t="s">
        <v>123</v>
      </c>
      <c r="S26" s="179"/>
    </row>
    <row r="27" spans="1:19">
      <c r="A27" s="169">
        <f>+Tabla!$E$7</f>
        <v>0.05</v>
      </c>
      <c r="B27" s="170" t="s">
        <v>245</v>
      </c>
      <c r="C27" s="171"/>
      <c r="D27" s="172"/>
      <c r="E27" s="44"/>
      <c r="F27" s="44"/>
      <c r="G27" s="44"/>
      <c r="H27" s="44"/>
      <c r="I27" s="154"/>
      <c r="J27" s="44"/>
      <c r="K27" s="44"/>
      <c r="L27" s="44"/>
      <c r="M27" s="154"/>
      <c r="N27" s="44"/>
      <c r="O27" s="119" t="s">
        <v>210</v>
      </c>
      <c r="P27" s="181">
        <f>((SUM(P15:P26))*A27)</f>
        <v>0.279269425792101</v>
      </c>
      <c r="Q27" s="122">
        <f>(P27*100)/(P36-P30-P32)</f>
        <v>4.71902607060914</v>
      </c>
      <c r="R27" s="310" t="s">
        <v>123</v>
      </c>
      <c r="S27" s="179"/>
    </row>
    <row r="28" customHeight="1" spans="1:19">
      <c r="A28" s="129">
        <f>+Q10</f>
        <v>1</v>
      </c>
      <c r="B28" s="311" t="s">
        <v>216</v>
      </c>
      <c r="D28" s="46" t="str">
        <f>+R10</f>
        <v>Caba</v>
      </c>
      <c r="E28" s="186">
        <f>+S10</f>
        <v>3500</v>
      </c>
      <c r="F28" s="158">
        <f>INDEX(Tabla!$B$162:$E$187,MATCH(R10,Tabla!$A$162:$A$187,0),MATCH(S10,Tabla!$B$161:$E$161,0))*A28</f>
        <v>114.364356435644</v>
      </c>
      <c r="G28" s="44"/>
      <c r="H28" s="44"/>
      <c r="I28" s="44"/>
      <c r="J28" s="154"/>
      <c r="K28" s="154"/>
      <c r="L28" s="154"/>
      <c r="M28" s="44"/>
      <c r="N28" s="44"/>
      <c r="O28" s="139" t="s">
        <v>210</v>
      </c>
      <c r="P28" s="312">
        <f>F28/J6</f>
        <v>0.0532882958625533</v>
      </c>
      <c r="Q28" s="122">
        <f>(P28*100)/(P36-P30-P32)</f>
        <v>0.900452517207971</v>
      </c>
      <c r="R28" s="310" t="s">
        <v>123</v>
      </c>
      <c r="S28" s="179"/>
    </row>
    <row r="29" customHeight="1" spans="1:19">
      <c r="A29" s="313">
        <f>IF(AND(B15="PolietilenoCristal",B16="Otro"),Tabla!$B$207,IF(AND(B15="PolietilenoBlanco",B16="Otro"),Tabla!$B$207,IF(AND(B15="PolietilenoDpk",B16="Otro"),Tabla!$B$207,IF(AND(B15="PolietilenoEvohCristal",B16="Otro"),Tabla!$B$207,IF(AND(B15="PolietilenoEvohBBo",B16="Otro"),Tabla!$B$207,IF(AND(B15="PoliesterCristal",B16="PolietilenoCristal"),Tabla!$B$210,IF(AND(B15="PoliesterCristal",B16="PolietilenoBlanco"),Tabla!$B$210,IF(AND(B15="PoliesterCristal",B16="PolietilenoDpk"),Tabla!$B$210,IF(AND(B15="PoliesterCristal",B16="PolietilenoEvohCristal"),Tabla!$B$210,IF(AND(B15="PoliesterCristal",B16="PolietilenoEvohBBo"),Tabla!$B$210,IF(AND(B15="PoliesterSaran",B16="PolietilenoCristal"),Tabla!$B$210,IF(AND(B15="PoliesterSaran",B16="PolietilenoBlanco"),Tabla!$B$210,IF(AND(B15="PoliesterSaran",B16="PolietilenoDpk"),Tabla!$B$210,IF(AND(B15="PoliesterSaran",B16="PolietilenoEvohCristal"),Tabla!$B$210,IF(AND(B15="Poliestersaran",B16="PolietilenoEvohBBo"),Tabla!$B$210,IF(AND(B15="BoppCristal",B16="PolietilenoCristal"),Tabla!$B$209,IF(AND(B15="BoppCristal",B16="PolietilenoBlanco"),Tabla!$B$209,IF(AND(B15="BoppBlanco",B16="PolietilenoCristal"),Tabla!$B$209,IF(AND(B15="BoppBlanco",B16="PolietilenoBlanco"),Tabla!$B$209,IF(AND(B15="BoppMate",B16="PolietilenoCristal"),Tabla!$B$209,IF(AND(B15="BoppMate",B16="PolietilenoBlanco"),Tabla!$B$209,IF(AND(B15="BoppPerladoBlanco",B16="PolietilenoCristal"),Tabla!$B$209,IF(AND(B15="BoppPerladoBlanco",B16="PolietilenoBlanco"),Tabla!$B$209,IF(AND(B15="BoppCristal",B16="BoppCristal"),Tabla!$B$208,IF(AND(B15="BoppCristal",B16="BoppBlanco"),Tabla!$B$208,IF(AND(B15="BoppCristal",B16="BoppMate"),Tabla!$B$208,IF(AND(B15="BoppCristal",B16="BoppMetalizado"),Tabla!$B$208,IF(AND(B15="BoppCristal",B16="BoppPerladoBlanco"),Tabla!$B$208,IF(AND(B15="BoppCristal",B16="Otro"),Tabla!$B$208,IF(AND(B15="BoppMate",B16="BoppMetalizado"),Tabla!$B$208,IF(AND(B15="BoppMate",B16="BoppPerladoBlanco"),Tabla!$B$208,IF(AND(B15="BoppCristal",B16="BoppCristal"),Tabla!$B$208,IF(AND(B15="BoppCristal",B16="BoppBlanco"),Tabla!$B$208,IF(AND(B15="BastCristal",B16="BoppMate"),Tabla!$B$208,IF(AND(B15="BoppCristal",B16="BoppMetalizado"),Tabla!$B$208,IF(AND(B15="BoppCristal",B16="BoppPerladoBlanco"),Tabla!$B$208,IF(AND(B15="PoliesterCristal",B16="FoilAluminio"),Tabla!$B$212,IF(AND(B15="PapelSeda",B16="Otro"),Tabla!$B$211,IF(AND(B15="PoliesterCristal",B16="PoliesterMetalizado",B17="PolietilenoCristal"),Tabla!$B$210+5,"ERROR")))))))))))))))))))))))))))))))))))))))</f>
        <v>17.5</v>
      </c>
      <c r="B29" s="314" t="s">
        <v>246</v>
      </c>
      <c r="C29" s="315"/>
      <c r="D29" s="315"/>
      <c r="E29" s="315"/>
      <c r="F29" s="315"/>
      <c r="G29" s="315"/>
      <c r="H29" s="315"/>
      <c r="I29" s="315"/>
      <c r="J29" s="316"/>
      <c r="K29" s="317" t="s">
        <v>247</v>
      </c>
      <c r="L29" s="228" t="s">
        <v>248</v>
      </c>
      <c r="M29" s="229"/>
      <c r="N29" s="230"/>
      <c r="O29" s="318" t="s">
        <v>210</v>
      </c>
      <c r="P29" s="319">
        <f>SUM(P15:P28)</f>
        <v>5.91794623749668</v>
      </c>
      <c r="Q29" s="320" t="s">
        <v>249</v>
      </c>
      <c r="R29" s="320"/>
      <c r="S29" s="179"/>
    </row>
    <row r="30" customHeight="1" spans="1:19">
      <c r="A30" s="321">
        <f>IF(J6&lt;Tabla!$C$206,Tabla!$B$213+Bobina!$A$29,IF(J6&lt;Tabla!$D$206,Tabla!$C$213+Bobina!$A$29,IF(J6&lt;Tabla!$E$206,Tabla!$D$213+Bobina!$A$29,Tabla!$E$213+Bobina!$A$29)))</f>
        <v>17.5</v>
      </c>
      <c r="B30" s="205" t="s">
        <v>250</v>
      </c>
      <c r="C30" s="206" t="s">
        <v>161</v>
      </c>
      <c r="D30" s="207"/>
      <c r="E30" s="71" t="str">
        <f>+K1</f>
        <v>A</v>
      </c>
      <c r="F30" s="159" t="s">
        <v>210</v>
      </c>
      <c r="G30" s="236">
        <f>+P30*J6</f>
        <v>2761.0358282448</v>
      </c>
      <c r="H30" s="237"/>
      <c r="I30" s="225">
        <f>+G30/J6</f>
        <v>1.28651005162971</v>
      </c>
      <c r="J30" s="212" t="s">
        <v>251</v>
      </c>
      <c r="K30" s="322">
        <f>+(P30+P31-R30)-I32</f>
        <v>2.11967846601848</v>
      </c>
      <c r="L30" s="154"/>
      <c r="M30" s="154"/>
      <c r="N30" s="154"/>
      <c r="O30" s="119" t="s">
        <v>210</v>
      </c>
      <c r="P30" s="181">
        <f>(P34*(A30/100))</f>
        <v>1.28651005162971</v>
      </c>
      <c r="Q30" s="119" t="s">
        <v>210</v>
      </c>
      <c r="R30" s="322">
        <f>Q12-Q11</f>
        <v>0.306311917054694</v>
      </c>
      <c r="S30" s="179"/>
    </row>
    <row r="31" customHeight="1" spans="1:19">
      <c r="A31" s="129">
        <f>IF(K1="A",Tabla!$E$207,IF(K1="B",Tabla!$F$207,IF(K1="C",Tabla!$G$207,0)))</f>
        <v>0</v>
      </c>
      <c r="B31" s="221" t="s">
        <v>123</v>
      </c>
      <c r="C31" s="39" t="s">
        <v>181</v>
      </c>
      <c r="D31" s="40"/>
      <c r="E31" s="71">
        <f>+N1</f>
        <v>0</v>
      </c>
      <c r="F31" s="222" t="s">
        <v>210</v>
      </c>
      <c r="G31" s="236">
        <f>(+P31*J6)+G30</f>
        <v>5522.0716564896</v>
      </c>
      <c r="H31" s="237"/>
      <c r="I31" s="225">
        <f>+G31/J6</f>
        <v>2.57302010325943</v>
      </c>
      <c r="J31" s="226" t="s">
        <v>251</v>
      </c>
      <c r="K31" s="323">
        <f>+G31-K32</f>
        <v>972.936434714837</v>
      </c>
      <c r="L31" s="154"/>
      <c r="M31" s="154"/>
      <c r="N31" s="154"/>
      <c r="O31" s="119" t="s">
        <v>210</v>
      </c>
      <c r="P31" s="181">
        <f>+P36-P29-P32</f>
        <v>1.28651005162971</v>
      </c>
      <c r="Q31" s="324"/>
      <c r="R31" s="324"/>
      <c r="S31" s="179"/>
    </row>
    <row r="32" spans="1:19">
      <c r="A32" s="233">
        <f>IF(S1="AK",Tabla!$B$191,IF(S1="PM",Tabla!$B$192,IF(S1="4P",Tabla!$B$193,Tabla!$B$194)))+S2</f>
        <v>2</v>
      </c>
      <c r="B32" s="325" t="s">
        <v>252</v>
      </c>
      <c r="C32" s="325"/>
      <c r="D32" s="325"/>
      <c r="E32" s="71" t="str">
        <f>+S1</f>
        <v>AK</v>
      </c>
      <c r="F32" s="159" t="s">
        <v>210</v>
      </c>
      <c r="G32" s="236">
        <f>+I32*J6</f>
        <v>315.546951799406</v>
      </c>
      <c r="H32" s="237"/>
      <c r="I32" s="225">
        <f>+P32</f>
        <v>0.147029720186253</v>
      </c>
      <c r="J32" s="226" t="s">
        <v>251</v>
      </c>
      <c r="K32" s="326">
        <f>K30*J6</f>
        <v>4549.13522177477</v>
      </c>
      <c r="L32" s="154"/>
      <c r="M32" s="154"/>
      <c r="N32" s="154"/>
      <c r="O32" s="119" t="s">
        <v>210</v>
      </c>
      <c r="P32" s="181">
        <f>+P36*(A32/100)</f>
        <v>0.147029720186253</v>
      </c>
      <c r="Q32" s="324"/>
      <c r="R32" s="324"/>
      <c r="S32" s="179"/>
    </row>
    <row r="33" ht="15.75" spans="1:19">
      <c r="A33" s="242">
        <v>0</v>
      </c>
      <c r="B33" s="170" t="s">
        <v>253</v>
      </c>
      <c r="C33" s="171"/>
      <c r="D33" s="172"/>
      <c r="E33" s="242">
        <v>1</v>
      </c>
      <c r="F33" s="159" t="s">
        <v>210</v>
      </c>
      <c r="G33" s="236">
        <f>+(D9*(P4+3)*S8*0.055)</f>
        <v>2098.8</v>
      </c>
      <c r="H33" s="237"/>
      <c r="I33" s="225">
        <f>+G33/J6</f>
        <v>0.977939970477284</v>
      </c>
      <c r="J33" s="212" t="s">
        <v>251</v>
      </c>
      <c r="L33" s="154"/>
      <c r="M33" s="44"/>
      <c r="N33" s="44"/>
      <c r="O33" s="119" t="s">
        <v>210</v>
      </c>
      <c r="P33" s="181">
        <f>+I33*A33</f>
        <v>0</v>
      </c>
      <c r="Q33" s="324"/>
      <c r="R33" s="324"/>
      <c r="S33" s="327"/>
    </row>
    <row r="34" ht="15.75" spans="1:19">
      <c r="A34" s="248" t="s">
        <v>254</v>
      </c>
      <c r="B34" s="249" t="s">
        <v>255</v>
      </c>
      <c r="C34" s="250"/>
      <c r="D34" s="250"/>
      <c r="E34" s="251"/>
      <c r="F34" s="144" t="s">
        <v>210</v>
      </c>
      <c r="G34" s="209">
        <f>+I34*J6</f>
        <v>5522.0716564896</v>
      </c>
      <c r="H34" s="210"/>
      <c r="I34" s="225">
        <f>I31-(I33*E33*A33)</f>
        <v>2.57302010325943</v>
      </c>
      <c r="J34" s="212" t="s">
        <v>251</v>
      </c>
      <c r="K34" s="44"/>
      <c r="L34" s="44"/>
      <c r="M34" s="44"/>
      <c r="N34" s="44"/>
      <c r="O34" s="252" t="s">
        <v>210</v>
      </c>
      <c r="P34" s="328">
        <f>+P29/(1-((A30+A32)/100))</f>
        <v>7.35148600931265</v>
      </c>
      <c r="Q34" s="254" t="s">
        <v>210</v>
      </c>
      <c r="R34" s="255">
        <f>+R29/(1-((A30+A32)/100))</f>
        <v>0</v>
      </c>
      <c r="S34" s="327"/>
    </row>
    <row r="35" ht="15.75" spans="1:19">
      <c r="A35" s="258"/>
      <c r="B35" s="259"/>
      <c r="C35" s="259"/>
      <c r="D35" s="259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60" t="s">
        <v>210</v>
      </c>
      <c r="P35" s="329">
        <f>+P34*(E31/100)</f>
        <v>0</v>
      </c>
      <c r="Q35" s="254" t="s">
        <v>210</v>
      </c>
      <c r="R35" s="255">
        <f>+R34*(E31/100)</f>
        <v>0</v>
      </c>
      <c r="S35" s="327"/>
    </row>
    <row r="36" ht="20" customHeight="1" spans="1:19">
      <c r="A36" s="258"/>
      <c r="B36" s="259"/>
      <c r="C36" s="259"/>
      <c r="D36" s="259"/>
      <c r="E36" s="44"/>
      <c r="F36" s="263" t="s">
        <v>218</v>
      </c>
      <c r="G36" s="264"/>
      <c r="H36" s="264"/>
      <c r="I36" s="264"/>
      <c r="J36" s="264"/>
      <c r="K36" s="264"/>
      <c r="L36" s="264"/>
      <c r="M36" s="264"/>
      <c r="N36" s="265"/>
      <c r="O36" s="330" t="s">
        <v>210</v>
      </c>
      <c r="P36" s="331">
        <f>+P34+P35</f>
        <v>7.35148600931265</v>
      </c>
      <c r="Q36" s="332">
        <f>SUM(Q19,Q23,Q26)+SUM(A29:A32)+E31</f>
        <v>43.3658105405442</v>
      </c>
      <c r="R36" s="333" t="s">
        <v>123</v>
      </c>
      <c r="S36" s="179"/>
    </row>
    <row r="37" ht="20" customHeight="1" spans="1:19">
      <c r="A37" s="258"/>
      <c r="B37" s="44"/>
      <c r="C37" s="259"/>
      <c r="D37" s="334"/>
      <c r="E37" s="44"/>
      <c r="F37" s="263" t="s">
        <v>220</v>
      </c>
      <c r="G37" s="264"/>
      <c r="H37" s="264"/>
      <c r="I37" s="264"/>
      <c r="J37" s="274">
        <f>+K12</f>
        <v>30</v>
      </c>
      <c r="K37" s="264" t="s">
        <v>221</v>
      </c>
      <c r="L37" s="265"/>
      <c r="M37" s="275">
        <f>+N12</f>
        <v>0.0416666666666667</v>
      </c>
      <c r="N37" s="268"/>
      <c r="O37" s="335" t="s">
        <v>210</v>
      </c>
      <c r="P37" s="336">
        <f>P36*N12</f>
        <v>0.306311917054694</v>
      </c>
      <c r="Q37" s="324"/>
      <c r="R37" s="324"/>
      <c r="S37" s="179"/>
    </row>
    <row r="38" ht="15.75" spans="1:19">
      <c r="A38" s="337"/>
      <c r="B38" s="271"/>
      <c r="C38" s="271"/>
      <c r="D38" s="271"/>
      <c r="E38" s="271"/>
      <c r="F38" s="271"/>
      <c r="G38" s="271"/>
      <c r="H38" s="338"/>
      <c r="I38" s="338"/>
      <c r="J38" s="271"/>
      <c r="K38" s="271"/>
      <c r="L38" s="271"/>
      <c r="M38" s="271"/>
      <c r="N38" s="271"/>
      <c r="O38" s="339" t="s">
        <v>210</v>
      </c>
      <c r="P38" s="331">
        <f>+P36+P37</f>
        <v>7.65779792636735</v>
      </c>
      <c r="Q38" s="271"/>
      <c r="R38" s="271"/>
      <c r="S38" s="280"/>
    </row>
  </sheetData>
  <mergeCells count="97">
    <mergeCell ref="A1:B1"/>
    <mergeCell ref="C1:J1"/>
    <mergeCell ref="L1:M1"/>
    <mergeCell ref="A2:B2"/>
    <mergeCell ref="C2:J2"/>
    <mergeCell ref="K2:L2"/>
    <mergeCell ref="M2:N2"/>
    <mergeCell ref="O2:P2"/>
    <mergeCell ref="B3:C3"/>
    <mergeCell ref="D3:E3"/>
    <mergeCell ref="G3:I3"/>
    <mergeCell ref="L3:M3"/>
    <mergeCell ref="P3:Q3"/>
    <mergeCell ref="B4:C4"/>
    <mergeCell ref="D4:E4"/>
    <mergeCell ref="B5:C5"/>
    <mergeCell ref="D5:E5"/>
    <mergeCell ref="H5:I5"/>
    <mergeCell ref="L5:M5"/>
    <mergeCell ref="P5:Q5"/>
    <mergeCell ref="B6:C6"/>
    <mergeCell ref="D6:E6"/>
    <mergeCell ref="H6:I6"/>
    <mergeCell ref="L6:M6"/>
    <mergeCell ref="P6:Q6"/>
    <mergeCell ref="B7:C7"/>
    <mergeCell ref="G7:I7"/>
    <mergeCell ref="L7:M7"/>
    <mergeCell ref="P7:Q7"/>
    <mergeCell ref="B8:C8"/>
    <mergeCell ref="G8:I8"/>
    <mergeCell ref="L8:M8"/>
    <mergeCell ref="P8:Q8"/>
    <mergeCell ref="B9:C9"/>
    <mergeCell ref="D9:E9"/>
    <mergeCell ref="G9:I9"/>
    <mergeCell ref="L9:M9"/>
    <mergeCell ref="P9:Q9"/>
    <mergeCell ref="G10:I10"/>
    <mergeCell ref="L10:M10"/>
    <mergeCell ref="G11:O11"/>
    <mergeCell ref="Q11:R11"/>
    <mergeCell ref="G12:J12"/>
    <mergeCell ref="L12:M12"/>
    <mergeCell ref="N12:O12"/>
    <mergeCell ref="Q12:R12"/>
    <mergeCell ref="A13:S13"/>
    <mergeCell ref="B14:D14"/>
    <mergeCell ref="F14:G14"/>
    <mergeCell ref="H14:I14"/>
    <mergeCell ref="M14:N14"/>
    <mergeCell ref="O14:P14"/>
    <mergeCell ref="Q14:R14"/>
    <mergeCell ref="B15:D15"/>
    <mergeCell ref="F15:G15"/>
    <mergeCell ref="H15:I15"/>
    <mergeCell ref="B16:D16"/>
    <mergeCell ref="F16:G16"/>
    <mergeCell ref="H16:I16"/>
    <mergeCell ref="B17:D17"/>
    <mergeCell ref="F17:G17"/>
    <mergeCell ref="H17:I17"/>
    <mergeCell ref="B18:D18"/>
    <mergeCell ref="B19:D19"/>
    <mergeCell ref="H19:I19"/>
    <mergeCell ref="B20:D20"/>
    <mergeCell ref="J20:K20"/>
    <mergeCell ref="B21:D21"/>
    <mergeCell ref="J21:K21"/>
    <mergeCell ref="B22:D22"/>
    <mergeCell ref="J22:K22"/>
    <mergeCell ref="B23:D23"/>
    <mergeCell ref="B24:D24"/>
    <mergeCell ref="J24:K24"/>
    <mergeCell ref="B25:D25"/>
    <mergeCell ref="J25:K25"/>
    <mergeCell ref="B26:D26"/>
    <mergeCell ref="B27:D27"/>
    <mergeCell ref="B29:J29"/>
    <mergeCell ref="L29:N29"/>
    <mergeCell ref="Q29:R29"/>
    <mergeCell ref="C30:D30"/>
    <mergeCell ref="G30:H30"/>
    <mergeCell ref="C31:D31"/>
    <mergeCell ref="G31:H31"/>
    <mergeCell ref="B32:D32"/>
    <mergeCell ref="G32:H32"/>
    <mergeCell ref="B33:D33"/>
    <mergeCell ref="G33:H33"/>
    <mergeCell ref="G34:H34"/>
    <mergeCell ref="A36:B36"/>
    <mergeCell ref="F36:N36"/>
    <mergeCell ref="F37:I37"/>
    <mergeCell ref="K37:L37"/>
    <mergeCell ref="M37:N37"/>
    <mergeCell ref="A4:A6"/>
    <mergeCell ref="A10:F12"/>
  </mergeCells>
  <conditionalFormatting sqref="N1">
    <cfRule type="cellIs" dxfId="0" priority="84" operator="notBetween">
      <formula>0</formula>
      <formula>0</formula>
    </cfRule>
    <cfRule type="cellIs" dxfId="0" priority="85" operator="greaterThan">
      <formula>0</formula>
    </cfRule>
  </conditionalFormatting>
  <conditionalFormatting sqref="S2">
    <cfRule type="cellIs" dxfId="0" priority="1" operator="notBetween">
      <formula>0</formula>
      <formula>0</formula>
    </cfRule>
    <cfRule type="cellIs" dxfId="0" priority="2" operator="greaterThan">
      <formula>0</formula>
    </cfRule>
  </conditionalFormatting>
  <conditionalFormatting sqref="R4">
    <cfRule type="containsText" dxfId="1" priority="83" operator="between" text="NO DISPBLE">
      <formula>NOT(ISERROR(SEARCH("NO DISPBLE",R4)))</formula>
    </cfRule>
  </conditionalFormatting>
  <conditionalFormatting sqref="D5:E5">
    <cfRule type="containsText" dxfId="1" priority="82" operator="between" text="ERROR">
      <formula>NOT(ISERROR(SEARCH("ERROR",D5)))</formula>
    </cfRule>
  </conditionalFormatting>
  <conditionalFormatting sqref="N5:O5">
    <cfRule type="containsText" dxfId="1" priority="41" operator="between" text="NO">
      <formula>NOT(ISERROR(SEARCH("NO",N5)))</formula>
    </cfRule>
  </conditionalFormatting>
  <conditionalFormatting sqref="F7">
    <cfRule type="containsText" dxfId="1" priority="78" operator="between" text="NO">
      <formula>NOT(ISERROR(SEARCH("NO",F7)))</formula>
    </cfRule>
  </conditionalFormatting>
  <conditionalFormatting sqref="J7">
    <cfRule type="containsText" dxfId="1" priority="3" operator="between" text="NO">
      <formula>NOT(ISERROR(SEARCH("NO",J7)))</formula>
    </cfRule>
    <cfRule type="containsText" dxfId="2" priority="4" stopIfTrue="1" operator="between" text="BI">
      <formula>NOT(ISERROR(SEARCH("BI",J7)))</formula>
    </cfRule>
  </conditionalFormatting>
  <conditionalFormatting sqref="N7">
    <cfRule type="notContainsText" dxfId="1" priority="111" operator="notContains" text="SI">
      <formula>ISERROR(SEARCH("SI",N7))</formula>
    </cfRule>
  </conditionalFormatting>
  <conditionalFormatting sqref="S7">
    <cfRule type="cellIs" dxfId="0" priority="80" operator="notEqual">
      <formula>100</formula>
    </cfRule>
  </conditionalFormatting>
  <conditionalFormatting sqref="R9">
    <cfRule type="cellIs" dxfId="0" priority="81" operator="notEqual">
      <formula>100</formula>
    </cfRule>
  </conditionalFormatting>
  <conditionalFormatting sqref="Q10">
    <cfRule type="notContainsText" dxfId="1" priority="43" operator="notContains" text="1">
      <formula>ISERROR(SEARCH("1",Q10))</formula>
    </cfRule>
  </conditionalFormatting>
  <conditionalFormatting sqref="B17:D17">
    <cfRule type="containsText" dxfId="3" priority="90" operator="between" text="BoppBlanco">
      <formula>NOT(ISERROR(SEARCH("BoppBlanco",B17)))</formula>
    </cfRule>
    <cfRule type="containsText" dxfId="4" priority="91" operator="between" text="FoilAluminio">
      <formula>NOT(ISERROR(SEARCH("FoilAluminio",B17)))</formula>
    </cfRule>
    <cfRule type="containsText" dxfId="5" priority="92" operator="between" text="PapelSeda">
      <formula>NOT(ISERROR(SEARCH("PapelSeda",B17)))</formula>
    </cfRule>
    <cfRule type="containsText" dxfId="6" priority="93" operator="between" text="PolietilenoEvohBco">
      <formula>NOT(ISERROR(SEARCH("PolietilenoEvohBco",B17)))</formula>
    </cfRule>
    <cfRule type="containsText" dxfId="7" priority="94" operator="between" text="PolietilenoEvohCtal">
      <formula>NOT(ISERROR(SEARCH("PolietilenoEvohCtal",B17)))</formula>
    </cfRule>
  </conditionalFormatting>
  <conditionalFormatting sqref="A15:A17">
    <cfRule type="notContainsText" dxfId="1" priority="79" operator="notContains" text="1">
      <formula>ISERROR(SEARCH("1",A15))</formula>
    </cfRule>
  </conditionalFormatting>
  <conditionalFormatting sqref="D4:D6">
    <cfRule type="containsText" dxfId="3" priority="95" operator="between" text="BoppBlanco">
      <formula>NOT(ISERROR(SEARCH("BoppBlanco",D4)))</formula>
    </cfRule>
    <cfRule type="containsText" dxfId="4" priority="96" operator="between" text="FoilAluminio">
      <formula>NOT(ISERROR(SEARCH("FoilAluminio",D4)))</formula>
    </cfRule>
    <cfRule type="containsText" dxfId="5" priority="97" operator="between" text="PapelSeda">
      <formula>NOT(ISERROR(SEARCH("PapelSeda",D4)))</formula>
    </cfRule>
    <cfRule type="containsText" dxfId="6" priority="98" operator="between" text="PolietilenoEvohBco">
      <formula>NOT(ISERROR(SEARCH("PolietilenoEvohBco",D4)))</formula>
    </cfRule>
    <cfRule type="containsText" dxfId="7" priority="99" operator="between" text="PolietilenoEvohCtal">
      <formula>NOT(ISERROR(SEARCH("PolietilenoEvohCtal",D4)))</formula>
    </cfRule>
  </conditionalFormatting>
  <conditionalFormatting sqref="D7:D8">
    <cfRule type="containsText" dxfId="1" priority="88" operator="between" text="NO">
      <formula>NOT(ISERROR(SEARCH("NO",D7)))</formula>
    </cfRule>
  </conditionalFormatting>
  <conditionalFormatting sqref="I36:I38">
    <cfRule type="cellIs" dxfId="0" priority="87" operator="greaterThan">
      <formula>0</formula>
    </cfRule>
  </conditionalFormatting>
  <conditionalFormatting sqref="N8:N10">
    <cfRule type="cellIs" dxfId="0" priority="86" operator="greaterThan">
      <formula>0</formula>
    </cfRule>
  </conditionalFormatting>
  <conditionalFormatting sqref="D4:D6;B17:D17">
    <cfRule type="expression" dxfId="8" priority="100">
      <formula>B4="PolietilenoDpk"</formula>
    </cfRule>
    <cfRule type="expression" dxfId="9" priority="101" stopIfTrue="1">
      <formula>B4="BoppMate"</formula>
    </cfRule>
    <cfRule type="expression" dxfId="10" priority="102" stopIfTrue="1">
      <formula>B4="BoppCristal"</formula>
    </cfRule>
    <cfRule type="expression" dxfId="11" priority="103" stopIfTrue="1">
      <formula>B4="BoppMetalizado"</formula>
    </cfRule>
    <cfRule type="expression" dxfId="12" priority="104" stopIfTrue="1">
      <formula>B4="BoppPerladoBlanco"</formula>
    </cfRule>
    <cfRule type="expression" dxfId="13" priority="105" stopIfTrue="1">
      <formula>B4="PoliesterMetalizado"</formula>
    </cfRule>
    <cfRule type="expression" dxfId="14" priority="106" stopIfTrue="1">
      <formula>B4="PoliesterSaran"</formula>
    </cfRule>
    <cfRule type="expression" dxfId="15" priority="107" stopIfTrue="1">
      <formula>B4="PolietilenoBlanco"</formula>
    </cfRule>
    <cfRule type="expression" dxfId="16" priority="108" stopIfTrue="1">
      <formula>B4="PolietilenoCristal"</formula>
    </cfRule>
    <cfRule type="expression" dxfId="17" priority="109">
      <formula>B4="PoliesterCristal"</formula>
    </cfRule>
  </conditionalFormatting>
  <conditionalFormatting sqref="J8:J10;J12">
    <cfRule type="cellIs" dxfId="0" priority="89" operator="greaterThan">
      <formula>0</formula>
    </cfRule>
  </conditionalFormatting>
  <dataValidations count="14">
    <dataValidation type="list" allowBlank="1" showInputMessage="1" showErrorMessage="1" sqref="K1">
      <formula1>Cliente</formula1>
    </dataValidation>
    <dataValidation type="list" allowBlank="1" showInputMessage="1" showErrorMessage="1" sqref="S1">
      <formula1>Vendedor</formula1>
    </dataValidation>
    <dataValidation type="list" allowBlank="1" showInputMessage="1" showErrorMessage="1" sqref="N5 F7 D7:D8">
      <formula1>Tabla!$F$79:$G$79</formula1>
    </dataValidation>
    <dataValidation type="list" allowBlank="1" showInputMessage="1" showErrorMessage="1" sqref="O5">
      <formula1>Tabla!$N$87:$N$88</formula1>
    </dataValidation>
    <dataValidation type="list" allowBlank="1" showInputMessage="1" showErrorMessage="1" sqref="R5">
      <formula1>Tabla!$L$87:$L$104</formula1>
    </dataValidation>
    <dataValidation type="whole" operator="between" showInputMessage="1" showErrorMessage="1" error="Valor Mayor a 0" sqref="R6 Q10">
      <formula1>1</formula1>
      <formula2>100</formula2>
    </dataValidation>
    <dataValidation type="list" allowBlank="1" showInputMessage="1" showErrorMessage="1" sqref="J7 N7">
      <formula1>Tabla!$F$121:$H$121</formula1>
    </dataValidation>
    <dataValidation type="whole" operator="between" allowBlank="1" showInputMessage="1" showErrorMessage="1" error="Valor entre 1 y 8" sqref="R8">
      <formula1>1</formula1>
      <formula2>8</formula2>
    </dataValidation>
    <dataValidation type="list" allowBlank="1" showInputMessage="1" showErrorMessage="1" sqref="R10">
      <formula1>Tabla!$A$162:$A$188</formula1>
    </dataValidation>
    <dataValidation type="list" allowBlank="1" showInputMessage="1" showErrorMessage="1" sqref="S10">
      <formula1>Tabla!$B$161:$E$161</formula1>
    </dataValidation>
    <dataValidation type="list" allowBlank="1" showInputMessage="1" showErrorMessage="1" sqref="K12 J37">
      <formula1>Dias</formula1>
    </dataValidation>
    <dataValidation type="list" allowBlank="1" showInputMessage="1" showErrorMessage="1" sqref="B4:B6">
      <formula1>Material</formula1>
    </dataValidation>
    <dataValidation type="list" allowBlank="1" showInputMessage="1" showErrorMessage="1" sqref="D4:D6">
      <formula1>Tabla!$A$35:$R$35</formula1>
    </dataValidation>
    <dataValidation type="list" allowBlank="1" showInputMessage="1" showErrorMessage="1" sqref="F4:F6">
      <formula1>INDIRECT(D4)</formula1>
    </dataValidation>
  </dataValidations>
  <pageMargins left="0.393700787401575" right="0.708661417322835" top="0.47244094488189" bottom="0.748031496062992" header="0.31496062992126" footer="0.31496062992126"/>
  <pageSetup paperSize="9" scale="80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60"/>
  <sheetViews>
    <sheetView zoomScale="120" zoomScaleNormal="120" workbookViewId="0">
      <selection activeCell="F16" sqref="F16:G17"/>
    </sheetView>
  </sheetViews>
  <sheetFormatPr defaultColWidth="11" defaultRowHeight="15"/>
  <cols>
    <col min="16" max="16" width="12" customWidth="1"/>
    <col min="19" max="19" width="11.6666666666667" customWidth="1"/>
  </cols>
  <sheetData>
    <row r="1" ht="27" spans="1:20">
      <c r="A1" s="1" t="s">
        <v>180</v>
      </c>
      <c r="B1" s="2"/>
      <c r="C1" s="3" t="s">
        <v>161</v>
      </c>
      <c r="D1" s="3"/>
      <c r="E1" s="3"/>
      <c r="F1" s="3"/>
      <c r="G1" s="3"/>
      <c r="H1" s="3"/>
      <c r="I1" s="3"/>
      <c r="J1" s="3"/>
      <c r="K1" s="4" t="s">
        <v>163</v>
      </c>
      <c r="L1" s="5" t="s">
        <v>181</v>
      </c>
      <c r="M1" s="6"/>
      <c r="N1" s="7">
        <v>9.833</v>
      </c>
      <c r="O1" s="8"/>
      <c r="P1" s="8"/>
      <c r="Q1" s="9" t="s">
        <v>160</v>
      </c>
      <c r="R1" s="10"/>
      <c r="S1" s="11" t="s">
        <v>162</v>
      </c>
      <c r="T1" s="12"/>
    </row>
    <row r="2" spans="1:20">
      <c r="A2" s="13" t="s">
        <v>256</v>
      </c>
      <c r="B2" s="14"/>
      <c r="C2" s="15" t="s">
        <v>145</v>
      </c>
      <c r="D2" s="16"/>
      <c r="E2" s="16"/>
      <c r="F2" s="16"/>
      <c r="G2" s="16"/>
      <c r="H2" s="16"/>
      <c r="I2" s="16"/>
      <c r="J2" s="17"/>
      <c r="K2" s="18" t="s">
        <v>184</v>
      </c>
      <c r="L2" s="19"/>
      <c r="M2" s="20"/>
      <c r="N2" s="20"/>
      <c r="O2" s="21" t="s">
        <v>186</v>
      </c>
      <c r="P2" s="22"/>
      <c r="Q2" s="23">
        <f ca="1">TODAY()</f>
        <v>46286</v>
      </c>
      <c r="R2" s="24"/>
      <c r="S2" s="5" t="s">
        <v>181</v>
      </c>
      <c r="T2" s="25">
        <v>0</v>
      </c>
    </row>
    <row r="3" spans="1:20">
      <c r="A3" s="26"/>
      <c r="B3" s="27" t="s">
        <v>187</v>
      </c>
      <c r="C3" s="14"/>
      <c r="D3" s="28">
        <v>11</v>
      </c>
      <c r="E3" s="29"/>
      <c r="F3" s="30" t="s">
        <v>188</v>
      </c>
      <c r="G3" s="31" t="s">
        <v>257</v>
      </c>
      <c r="H3" s="31"/>
      <c r="I3" s="31"/>
      <c r="J3" s="29">
        <v>17</v>
      </c>
      <c r="K3" s="30" t="s">
        <v>188</v>
      </c>
      <c r="L3" s="27" t="s">
        <v>258</v>
      </c>
      <c r="M3" s="14"/>
      <c r="N3" s="29">
        <v>7</v>
      </c>
      <c r="O3" s="33" t="s">
        <v>188</v>
      </c>
      <c r="Q3" s="31" t="s">
        <v>259</v>
      </c>
      <c r="R3" s="31"/>
      <c r="S3" s="34" t="s">
        <v>105</v>
      </c>
      <c r="T3" s="35"/>
    </row>
    <row r="4" spans="1:20">
      <c r="A4" s="36" t="s">
        <v>19</v>
      </c>
      <c r="B4" s="37" t="s">
        <v>72</v>
      </c>
      <c r="C4" s="38"/>
      <c r="D4" s="39" t="s">
        <v>51</v>
      </c>
      <c r="E4" s="40"/>
      <c r="F4" s="34">
        <v>12</v>
      </c>
      <c r="G4" s="30" t="s">
        <v>192</v>
      </c>
      <c r="H4" s="41" t="s">
        <v>260</v>
      </c>
      <c r="I4" s="14"/>
      <c r="J4" s="42">
        <v>3000</v>
      </c>
      <c r="K4" s="43" t="s">
        <v>261</v>
      </c>
      <c r="L4" s="44"/>
      <c r="M4" s="44"/>
      <c r="N4" s="44"/>
      <c r="O4" s="44"/>
      <c r="P4" s="44"/>
      <c r="Q4" s="44"/>
      <c r="R4" s="31" t="s">
        <v>262</v>
      </c>
      <c r="S4" s="34" t="s">
        <v>105</v>
      </c>
      <c r="T4" s="35"/>
    </row>
    <row r="5" spans="1:20">
      <c r="A5" s="45"/>
      <c r="B5" s="37" t="s">
        <v>24</v>
      </c>
      <c r="C5" s="38"/>
      <c r="D5" s="46" t="s">
        <v>35</v>
      </c>
      <c r="E5" s="47"/>
      <c r="F5" s="34">
        <v>90</v>
      </c>
      <c r="G5" s="30" t="s">
        <v>192</v>
      </c>
      <c r="H5" s="31" t="s">
        <v>194</v>
      </c>
      <c r="I5" s="27"/>
      <c r="J5" s="48">
        <f>+J4*D3/100</f>
        <v>330</v>
      </c>
      <c r="K5" s="30" t="s">
        <v>195</v>
      </c>
      <c r="L5" s="44"/>
      <c r="M5" s="44"/>
      <c r="N5" s="44"/>
      <c r="O5" s="44"/>
      <c r="P5" s="44"/>
      <c r="Q5" s="44"/>
      <c r="R5" s="31" t="s">
        <v>263</v>
      </c>
      <c r="S5" s="34" t="s">
        <v>105</v>
      </c>
      <c r="T5" s="35"/>
    </row>
    <row r="6" ht="15.75" spans="1:20">
      <c r="A6" s="49"/>
      <c r="B6" s="37" t="s">
        <v>90</v>
      </c>
      <c r="C6" s="38"/>
      <c r="D6" s="39" t="s">
        <v>90</v>
      </c>
      <c r="E6" s="40"/>
      <c r="F6" s="34">
        <v>0</v>
      </c>
      <c r="G6" s="30" t="s">
        <v>192</v>
      </c>
      <c r="H6" s="31" t="s">
        <v>198</v>
      </c>
      <c r="I6" s="31"/>
      <c r="J6" s="50">
        <f>(SUM(L16:L18))*(J5/1000)</f>
        <v>13.492116</v>
      </c>
      <c r="K6" s="51" t="s">
        <v>199</v>
      </c>
      <c r="L6" s="44"/>
      <c r="M6" s="44"/>
      <c r="N6" s="44"/>
      <c r="O6" s="44"/>
      <c r="P6" s="27" t="s">
        <v>264</v>
      </c>
      <c r="Q6" s="14"/>
      <c r="R6" s="52">
        <v>1</v>
      </c>
      <c r="S6" s="27" t="s">
        <v>265</v>
      </c>
      <c r="T6" s="14"/>
    </row>
    <row r="7" spans="1:20">
      <c r="A7" s="53"/>
      <c r="B7" s="27" t="s">
        <v>104</v>
      </c>
      <c r="C7" s="14"/>
      <c r="D7" s="34" t="s">
        <v>105</v>
      </c>
      <c r="E7" s="27" t="s">
        <v>204</v>
      </c>
      <c r="F7" s="34" t="s">
        <v>105</v>
      </c>
      <c r="G7" s="54" t="s">
        <v>266</v>
      </c>
      <c r="H7" s="55"/>
      <c r="I7" s="56"/>
      <c r="J7" s="52" t="s">
        <v>105</v>
      </c>
      <c r="K7" s="54" t="s">
        <v>206</v>
      </c>
      <c r="L7" s="55"/>
      <c r="M7" s="56"/>
      <c r="N7" s="52" t="s">
        <v>105</v>
      </c>
      <c r="O7" s="57">
        <f>+N8*R7</f>
        <v>44</v>
      </c>
      <c r="P7" s="27" t="s">
        <v>267</v>
      </c>
      <c r="Q7" s="14"/>
      <c r="R7" s="34">
        <v>4</v>
      </c>
      <c r="S7" s="7">
        <v>0</v>
      </c>
      <c r="T7" s="58"/>
    </row>
    <row r="8" spans="1:20">
      <c r="A8" s="53"/>
      <c r="B8" s="27" t="s">
        <v>187</v>
      </c>
      <c r="C8" s="14"/>
      <c r="D8" s="59">
        <f>(+J3*2)+N3</f>
        <v>41</v>
      </c>
      <c r="E8" s="60"/>
      <c r="F8" s="30" t="s">
        <v>188</v>
      </c>
      <c r="G8" s="31" t="s">
        <v>209</v>
      </c>
      <c r="H8" s="31"/>
      <c r="I8" s="31"/>
      <c r="J8" s="52">
        <v>0</v>
      </c>
      <c r="K8" s="30" t="s">
        <v>188</v>
      </c>
      <c r="L8" s="27" t="s">
        <v>190</v>
      </c>
      <c r="M8" s="14"/>
      <c r="N8" s="61">
        <f>+D3</f>
        <v>11</v>
      </c>
      <c r="O8" s="33" t="s">
        <v>188</v>
      </c>
      <c r="P8" s="27" t="s">
        <v>202</v>
      </c>
      <c r="Q8" s="14"/>
      <c r="R8" s="34">
        <v>1</v>
      </c>
      <c r="S8" s="54" t="s">
        <v>203</v>
      </c>
      <c r="T8" s="62"/>
    </row>
    <row r="9" spans="1:20">
      <c r="A9" s="53"/>
      <c r="B9" s="27" t="s">
        <v>208</v>
      </c>
      <c r="C9" s="14"/>
      <c r="D9" s="46">
        <f>(+D8*R6)+S7</f>
        <v>41</v>
      </c>
      <c r="E9" s="47"/>
      <c r="F9" s="30" t="s">
        <v>188</v>
      </c>
      <c r="G9" s="31" t="s">
        <v>213</v>
      </c>
      <c r="H9" s="31"/>
      <c r="I9" s="31"/>
      <c r="J9" s="52">
        <v>0</v>
      </c>
      <c r="K9" s="30" t="s">
        <v>188</v>
      </c>
      <c r="L9" s="31" t="s">
        <v>193</v>
      </c>
      <c r="M9" s="31"/>
      <c r="N9" s="46">
        <f>IF(O7=Tabla!$L$87,Tabla!$L$87,IF(O7=Tabla!$L$88,Tabla!$L$88,IF(O7=Tabla!$L$89,Tabla!$L$89,IF(O7=Tabla!$L$90,Tabla!$L$90,IF(O7=Tabla!$L$91,Tabla!$L$91,IF(O7=Tabla!$L$92,Tabla!$L$92,IF(O7=Tabla!$L$93,Tabla!$L$93,IF(O7=Tabla!$L$94,Tabla!$L$94,IF(O7=Tabla!$L$95,Tabla!$L$95,IF(O7=Tabla!$L$96,Tabla!$L$96,IF(O7=Tabla!$L$97,Tabla!$L$97,IF(O7=Tabla!$L$98,Tabla!$L$98,IF(O7=Tabla!$L$99,Tabla!$L$99,IF(O7=Tabla!$L$100,Tabla!$L$100,IF(O7=Tabla!$L$101,Tabla!$L$101,IF(O7=Tabla!$L$102,Tabla!$L$102,IF(O7=Tabla!$L$103,Tabla!$L$103,IF(O7=Tabla!$L$104,Tabla!$L$104,IF(O7=Tabla!$L$105,Tabla!$L$105,"NO DISPBLE")))))))))))))))))))</f>
        <v>44</v>
      </c>
      <c r="O9" s="33" t="s">
        <v>188</v>
      </c>
      <c r="P9" s="27" t="s">
        <v>207</v>
      </c>
      <c r="Q9" s="14"/>
      <c r="R9" s="34">
        <v>0</v>
      </c>
      <c r="S9" s="34">
        <v>100</v>
      </c>
      <c r="T9" s="35"/>
    </row>
    <row r="10" ht="15.75" spans="1:20">
      <c r="A10" s="53"/>
      <c r="B10" s="63" t="s">
        <v>212</v>
      </c>
      <c r="C10" s="64"/>
      <c r="D10" s="65">
        <f>+D9+3</f>
        <v>44</v>
      </c>
      <c r="E10" s="65"/>
      <c r="F10" s="66" t="s">
        <v>188</v>
      </c>
      <c r="G10" s="67" t="s">
        <v>215</v>
      </c>
      <c r="H10" s="68"/>
      <c r="I10" s="68"/>
      <c r="J10" s="69">
        <v>0</v>
      </c>
      <c r="K10" s="30" t="s">
        <v>188</v>
      </c>
      <c r="L10" s="27" t="s">
        <v>268</v>
      </c>
      <c r="M10" s="14"/>
      <c r="N10" s="70">
        <v>35</v>
      </c>
      <c r="O10" s="33" t="s">
        <v>188</v>
      </c>
      <c r="P10" s="27" t="s">
        <v>211</v>
      </c>
      <c r="Q10" s="14"/>
      <c r="R10" s="34">
        <v>4</v>
      </c>
      <c r="S10" s="71">
        <f>+R10*(R8+R9)</f>
        <v>4</v>
      </c>
      <c r="T10" s="72"/>
    </row>
    <row r="11" ht="15.75" spans="1:20">
      <c r="A11" s="73"/>
      <c r="B11" s="74"/>
      <c r="C11" s="74"/>
      <c r="D11" s="74"/>
      <c r="E11" s="74"/>
      <c r="F11" s="75"/>
      <c r="G11" s="67" t="s">
        <v>269</v>
      </c>
      <c r="H11" s="68"/>
      <c r="I11" s="68"/>
      <c r="J11" s="34" t="s">
        <v>106</v>
      </c>
      <c r="K11" s="30" t="s">
        <v>210</v>
      </c>
      <c r="L11" s="52">
        <v>0</v>
      </c>
      <c r="M11" s="76"/>
      <c r="N11" s="77"/>
      <c r="O11" s="78"/>
      <c r="P11" s="79" t="s">
        <v>214</v>
      </c>
      <c r="Q11" s="67"/>
      <c r="R11" s="80">
        <v>100</v>
      </c>
      <c r="S11" s="81" t="s">
        <v>216</v>
      </c>
      <c r="T11" s="82">
        <v>1</v>
      </c>
    </row>
    <row r="12" ht="19.5" spans="1:20">
      <c r="A12" s="83"/>
      <c r="B12" s="84"/>
      <c r="C12" s="84"/>
      <c r="D12" s="84"/>
      <c r="E12" s="84"/>
      <c r="F12" s="85"/>
      <c r="G12" s="86" t="s">
        <v>270</v>
      </c>
      <c r="H12" s="86"/>
      <c r="I12" s="86"/>
      <c r="J12" s="86"/>
      <c r="K12" s="86"/>
      <c r="L12" s="86"/>
      <c r="M12" s="86"/>
      <c r="N12" s="86"/>
      <c r="O12" s="86"/>
      <c r="P12" s="87" t="s">
        <v>219</v>
      </c>
      <c r="Q12" s="88">
        <f>+R49</f>
        <v>637.386315539088</v>
      </c>
      <c r="R12" s="89"/>
      <c r="S12" s="90" t="s">
        <v>217</v>
      </c>
      <c r="T12" s="35">
        <v>900</v>
      </c>
    </row>
    <row r="13" ht="19.5" spans="1:20">
      <c r="A13" s="83"/>
      <c r="B13" s="84"/>
      <c r="C13" s="84"/>
      <c r="D13" s="84"/>
      <c r="E13" s="84"/>
      <c r="F13" s="85"/>
      <c r="G13" s="86" t="s">
        <v>220</v>
      </c>
      <c r="H13" s="86"/>
      <c r="I13" s="86"/>
      <c r="J13" s="86"/>
      <c r="K13" s="91">
        <v>30</v>
      </c>
      <c r="L13" s="86" t="s">
        <v>221</v>
      </c>
      <c r="M13" s="92"/>
      <c r="N13" s="93">
        <f>INDEX(Tabla!$B$199:$B$202,MATCH(K13,Tabla!$A$199:$A$202,0))/100</f>
        <v>0.0416666666666667</v>
      </c>
      <c r="O13" s="94"/>
      <c r="P13" s="87" t="s">
        <v>219</v>
      </c>
      <c r="Q13" s="95">
        <f>+R50</f>
        <v>663.94407868655</v>
      </c>
      <c r="R13" s="96"/>
      <c r="S13" s="97">
        <f>+((Q13*J4)/1000)/J6</f>
        <v>147.629344133985</v>
      </c>
      <c r="T13" s="98" t="s">
        <v>251</v>
      </c>
    </row>
    <row r="14" ht="15.75" spans="1:20">
      <c r="A14" s="9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</row>
    <row r="15" ht="30.75" spans="1:20">
      <c r="A15" s="102"/>
      <c r="B15" s="103" t="s">
        <v>222</v>
      </c>
      <c r="C15" s="104"/>
      <c r="D15" s="105"/>
      <c r="E15" s="102" t="s">
        <v>223</v>
      </c>
      <c r="F15" s="106" t="s">
        <v>224</v>
      </c>
      <c r="G15" s="107"/>
      <c r="H15" s="103" t="s">
        <v>225</v>
      </c>
      <c r="I15" s="105"/>
      <c r="J15" s="108" t="s">
        <v>226</v>
      </c>
      <c r="K15" s="102" t="s">
        <v>227</v>
      </c>
      <c r="L15" s="102" t="s">
        <v>227</v>
      </c>
      <c r="M15" s="106" t="s">
        <v>228</v>
      </c>
      <c r="N15" s="108"/>
      <c r="O15" s="106" t="s">
        <v>229</v>
      </c>
      <c r="P15" s="108"/>
      <c r="Q15" s="106" t="s">
        <v>271</v>
      </c>
      <c r="R15" s="108"/>
      <c r="S15" s="106" t="s">
        <v>230</v>
      </c>
      <c r="T15" s="108"/>
    </row>
    <row r="16" ht="15.75" spans="1:20">
      <c r="A16" s="109">
        <v>1</v>
      </c>
      <c r="B16" s="110" t="str">
        <f>+D4</f>
        <v>PoliesterCristal</v>
      </c>
      <c r="C16" s="110"/>
      <c r="D16" s="110"/>
      <c r="E16" s="111">
        <f>+F4</f>
        <v>12</v>
      </c>
      <c r="F16" s="112">
        <f>(IF(B16=Tabla!$A$16,Tabla!$D$16,IF(B16=Tabla!$A$17,Tabla!$D$17,IF(B16=Tabla!$A$18,Tabla!$D$18,IF(B16=Tabla!$A$19,Tabla!$D$19,IF(B16=Tabla!$A$20,Tabla!$D$20,IF(B16=Tabla!$A$21,Tabla!$D$21,IF(B16=Tabla!$A$22,Tabla!$D$22,IF(B16=Tabla!$A$23,Tabla!$D$23,IF(B16=Tabla!$A$24,Tabla!$D$24,IF(B16=Tabla!$A$25,Tabla!$D$25,IF(B16=Tabla!$A$26,Tabla!$D$26,IF(B16=Tabla!$A$27,Tabla!$D$27,IF(B16=Tabla!$A$28,Tabla!$D$28,IF(B16=Tabla!$A$29,Tabla!$D$29,IF(B16=Tabla!$A$30,Tabla!$D$30,IF(B16=Tabla!$A$31,Tabla!$D$31,IF(B16=Tabla!$A$32,Tabla!$D$32,IF(B16=Tabla!$A$33,Tabla!$D$33)))))))))))))))))))*A16</f>
        <v>3.65</v>
      </c>
      <c r="G16" s="113"/>
      <c r="H16" s="114">
        <f>+J5+(1500*(R8+R9))</f>
        <v>1830</v>
      </c>
      <c r="I16" s="114"/>
      <c r="J16" s="115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(H16/1000)*((D10+J8)/100)*E16</f>
        <v>13.623984</v>
      </c>
      <c r="K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(D10+J8)/100)</f>
        <v>7.4448</v>
      </c>
      <c r="L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D9/100)</f>
        <v>6.9372</v>
      </c>
      <c r="M16" s="117" t="s">
        <v>210</v>
      </c>
      <c r="N16" s="118">
        <f>((J16*F16)/(J5/1000))</f>
        <v>150.68952</v>
      </c>
      <c r="O16" s="119" t="s">
        <v>210</v>
      </c>
      <c r="P16" s="120">
        <f>N16/(SUM(L16:L18))</f>
        <v>3.68567403363564</v>
      </c>
      <c r="Q16" s="119" t="s">
        <v>210</v>
      </c>
      <c r="R16" s="121">
        <f>IF(R6&gt;1,((+N16/(100/D3))/R6),+N16/(100/D3))</f>
        <v>16.5758472</v>
      </c>
      <c r="S16" s="122">
        <f>(R16*100)/(Q12-R43-R44)</f>
        <v>6.10289616610322</v>
      </c>
      <c r="T16" s="123" t="s">
        <v>123</v>
      </c>
    </row>
    <row r="17" ht="15.75" spans="1:20">
      <c r="A17" s="109">
        <v>1</v>
      </c>
      <c r="B17" s="124" t="str">
        <f>+D5</f>
        <v>PolietilenoDpk</v>
      </c>
      <c r="C17" s="125"/>
      <c r="D17" s="30"/>
      <c r="E17" s="111">
        <f>+F5</f>
        <v>90</v>
      </c>
      <c r="F17" s="112">
        <f>(IF(B17=Tabla!$A$16,Tabla!$D$16,IF(B17=Tabla!$A$17,Tabla!$D$17,IF(B17=Tabla!$A$18,Tabla!$D$18,IF(B17=Tabla!$A$19,Tabla!$D$19,IF(B17=Tabla!$A$20,Tabla!$D$20,IF(B17=Tabla!$A$21,Tabla!$D$21,IF(B17=Tabla!$A$22,Tabla!$D$22,IF(B17=Tabla!$A$23,Tabla!$D$23,IF(B17=Tabla!$A$24,Tabla!$D$24,IF(B17=Tabla!$A$25,Tabla!$D$25,IF(B17=Tabla!$A$26,Tabla!$D$26,IF(B17=Tabla!$A$27,Tabla!$D$27,IF(B17=Tabla!$A$28,Tabla!$D$28,IF(B17=Tabla!$A$29,Tabla!$D$29,IF(B17=Tabla!$A$30,Tabla!$D$30,IF(B17=Tabla!$A$31,Tabla!$D$31,IF(B17=Tabla!$A$32,Tabla!$D$32,IF(B17=Tabla!$A$33,Tabla!$D$33)))))))))))))))))))*A17</f>
        <v>3.32356737388024</v>
      </c>
      <c r="G17" s="281"/>
      <c r="H17" s="126">
        <f>+J5+100</f>
        <v>430</v>
      </c>
      <c r="I17" s="126"/>
      <c r="J17" s="115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(H17/1000)*((D10+J9)/100)*E17</f>
        <v>15.66576</v>
      </c>
      <c r="K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(D10+J8)/100)</f>
        <v>36.432</v>
      </c>
      <c r="L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D9/100)</f>
        <v>33.948</v>
      </c>
      <c r="M17" s="127" t="s">
        <v>210</v>
      </c>
      <c r="N17" s="128">
        <f>((J17*F17)/(J5/1000))</f>
        <v>157.776390372843</v>
      </c>
      <c r="O17" s="119" t="s">
        <v>210</v>
      </c>
      <c r="P17" s="120">
        <f>N17/(SUM(L16:L18))</f>
        <v>3.85900987087853</v>
      </c>
      <c r="Q17" s="119" t="s">
        <v>210</v>
      </c>
      <c r="R17" s="121">
        <f>IF(R6&gt;1,((+N17/(100/D3))/R6),+N17/(100/D3))</f>
        <v>17.3554029410127</v>
      </c>
      <c r="S17" s="122">
        <f>(R17*100)/(Q12-R43-R44)</f>
        <v>6.38991303381967</v>
      </c>
      <c r="T17" s="123" t="s">
        <v>123</v>
      </c>
    </row>
    <row r="18" ht="15.75" spans="1:20">
      <c r="A18" s="109">
        <v>1</v>
      </c>
      <c r="B18" s="110" t="str">
        <f>+D6</f>
        <v>Otro</v>
      </c>
      <c r="C18" s="110"/>
      <c r="D18" s="110"/>
      <c r="E18" s="111">
        <f>+F6</f>
        <v>0</v>
      </c>
      <c r="F18" s="112">
        <f>(IF(B18=Tabla!$A$16,Tabla!$D$16,IF(B18=Tabla!$A$17,Tabla!$D$17,IF(B18=Tabla!$A$18,Tabla!$D$18,IF(B18=Tabla!$A$19,Tabla!$D$19,IF(B18=Tabla!$A$20,Tabla!$D$20,IF(B18=Tabla!$A$21,Tabla!$D$21,IF(B18=Tabla!$A$22,Tabla!$D$22,IF(B18=Tabla!$A$23,Tabla!$D$23,IF(B18=Tabla!$A$24,Tabla!$D$24,IF(B18=Tabla!$A$25,Tabla!$D$25,IF(B18=Tabla!$A$26,Tabla!$D$26,IF(B18=Tabla!$A$27,Tabla!$D$27,IF(B18=Tabla!$A$28,Tabla!$D$28,IF(B18=Tabla!$A$29,Tabla!$D$29,IF(B18=Tabla!$A$30,Tabla!$D$30,IF(B18=Tabla!$A$31,Tabla!$D$31,IF(B18=Tabla!$A$32,Tabla!$D$32,IF(B18=Tabla!$A$33,Tabla!$D$33)))))))))))))))))))*A18</f>
        <v>0</v>
      </c>
      <c r="G18" s="113"/>
      <c r="H18" s="126">
        <f>+J5+100</f>
        <v>430</v>
      </c>
      <c r="I18" s="126"/>
      <c r="J18" s="115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(H18/1000)*((D10+J10)/100)*E18</f>
        <v>0</v>
      </c>
      <c r="K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(D10+J8)/100)</f>
        <v>0</v>
      </c>
      <c r="L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D9/100)</f>
        <v>0</v>
      </c>
      <c r="M18" s="127" t="s">
        <v>210</v>
      </c>
      <c r="N18" s="128">
        <f>((J18*F18)/(J5/1000))</f>
        <v>0</v>
      </c>
      <c r="O18" s="119" t="s">
        <v>210</v>
      </c>
      <c r="P18" s="120">
        <f>N18/(SUM(L16:L18))</f>
        <v>0</v>
      </c>
      <c r="Q18" s="119" t="s">
        <v>210</v>
      </c>
      <c r="R18" s="121">
        <f>IF(R6&gt;1,((+N18/(100/D3))/R6),+N18/(100/D3))</f>
        <v>0</v>
      </c>
      <c r="S18" s="122">
        <f>(R18*100)/(Q12-R43-R44)</f>
        <v>0</v>
      </c>
      <c r="T18" s="123" t="s">
        <v>123</v>
      </c>
    </row>
    <row r="19" spans="1:20">
      <c r="A19" s="129">
        <f>IF(D7="SI",1,0)</f>
        <v>1</v>
      </c>
      <c r="B19" s="130" t="s">
        <v>231</v>
      </c>
      <c r="C19" s="131"/>
      <c r="D19" s="132"/>
      <c r="E19" s="133" t="s">
        <v>232</v>
      </c>
      <c r="F19" s="133" t="s">
        <v>233</v>
      </c>
      <c r="G19" s="133" t="s">
        <v>232</v>
      </c>
      <c r="H19" s="134" t="s">
        <v>272</v>
      </c>
      <c r="I19" s="135"/>
      <c r="J19" s="133" t="s">
        <v>234</v>
      </c>
      <c r="K19" s="133"/>
      <c r="L19" s="136"/>
      <c r="M19" s="137"/>
      <c r="N19" s="138"/>
      <c r="O19" s="139"/>
      <c r="P19" s="140"/>
      <c r="Q19" s="139"/>
      <c r="R19" s="141"/>
      <c r="S19" s="122"/>
      <c r="T19" s="123"/>
    </row>
    <row r="20" spans="1:20">
      <c r="A20" s="129">
        <f>IF(F7="SI",1,0)</f>
        <v>1</v>
      </c>
      <c r="B20" s="130" t="s">
        <v>235</v>
      </c>
      <c r="C20" s="131"/>
      <c r="D20" s="132"/>
      <c r="E20" s="142">
        <f>(Tabla!$D$5*R8+1*R9)*A19</f>
        <v>1.5</v>
      </c>
      <c r="F20" s="143">
        <f>(+J5/20000)*A19</f>
        <v>0.0165</v>
      </c>
      <c r="G20" s="142">
        <f>(Tabla!$D$5/3)*A20</f>
        <v>0.5</v>
      </c>
      <c r="H20" s="46">
        <f>(J5/20000)*A20</f>
        <v>0.0165</v>
      </c>
      <c r="I20" s="47"/>
      <c r="J20" s="144" t="s">
        <v>210</v>
      </c>
      <c r="K20" s="145">
        <f>+Tabla!$B$5</f>
        <v>58.46</v>
      </c>
      <c r="L20" s="146"/>
      <c r="M20" s="127" t="s">
        <v>210</v>
      </c>
      <c r="N20" s="128">
        <f>((E20+F20+G20+H20)*K20)/(J5/1000)*A19</f>
        <v>360.14903030303</v>
      </c>
      <c r="O20" s="119" t="s">
        <v>210</v>
      </c>
      <c r="P20" s="120">
        <f>N20/(SUM(L16:L18))</f>
        <v>8.80878729474309</v>
      </c>
      <c r="Q20" s="119" t="s">
        <v>210</v>
      </c>
      <c r="R20" s="121">
        <f>IF(R6&gt;1,((+N20/(100/D3))/R6),+N20/(100/D3))</f>
        <v>39.6163933333333</v>
      </c>
      <c r="S20" s="122">
        <f>(R20*100)/(Q12-R43-R44)</f>
        <v>14.5859654756493</v>
      </c>
      <c r="T20" s="123" t="s">
        <v>123</v>
      </c>
    </row>
    <row r="21" spans="1:20">
      <c r="A21" s="129">
        <f>IF(D7="SI",1,0)</f>
        <v>1</v>
      </c>
      <c r="B21" s="147" t="s">
        <v>32</v>
      </c>
      <c r="C21" s="148"/>
      <c r="D21" s="149"/>
      <c r="E21" s="44"/>
      <c r="F21" s="44"/>
      <c r="G21" s="44"/>
      <c r="H21" s="44"/>
      <c r="I21" s="150">
        <f>(+L21/S10)*A20</f>
        <v>1.36896975425331</v>
      </c>
      <c r="J21" s="151" t="s">
        <v>236</v>
      </c>
      <c r="K21" s="152"/>
      <c r="L21" s="150">
        <f>(IF(B21=Tabla!$A$79,((Tabla!$B$79/2300/46)*(D10+J8)*N9),1)*0.75)</f>
        <v>5.47587901701323</v>
      </c>
      <c r="M21" s="127"/>
      <c r="N21" s="128"/>
      <c r="O21" s="119" t="s">
        <v>210</v>
      </c>
      <c r="P21" s="120">
        <f>((I21+L21*S10)/J6)*A21</f>
        <v>1.724895177473</v>
      </c>
      <c r="Q21" s="119" t="s">
        <v>210</v>
      </c>
      <c r="R21" s="153">
        <f>IF(R6&gt;1,((((I21+L21*R10)/(J4/1000)*A21))/R6),((I21+L21*R10)/(J4/1000)*A21))</f>
        <v>7.75749527410208</v>
      </c>
      <c r="S21" s="122">
        <f>(R21*100)/(Q12-R43-R44)</f>
        <v>2.85615495821423</v>
      </c>
      <c r="T21" s="123" t="s">
        <v>123</v>
      </c>
    </row>
    <row r="22" spans="1:20">
      <c r="A22" s="129">
        <f>IF(D7="SI",1,0)</f>
        <v>1</v>
      </c>
      <c r="B22" s="147" t="s">
        <v>237</v>
      </c>
      <c r="C22" s="148"/>
      <c r="D22" s="149"/>
      <c r="E22" s="44"/>
      <c r="F22" s="44"/>
      <c r="G22" s="44"/>
      <c r="H22" s="44"/>
      <c r="I22" s="150">
        <f>(((Tabla!$B$90*0.8)+(Tabla!$B$93*0.2))/1000*2)*A20</f>
        <v>0.009368</v>
      </c>
      <c r="J22" s="151" t="s">
        <v>238</v>
      </c>
      <c r="K22" s="152"/>
      <c r="L22" s="150">
        <f>(((((Tabla!$J$116-Tabla!$E$116)/1000*2)+((Tabla!$E$116/1000*2)*S9)/100)*R11)/100)+I22</f>
        <v>0.0400791232064</v>
      </c>
      <c r="M22" s="127" t="s">
        <v>210</v>
      </c>
      <c r="N22" s="128">
        <f>(L22*((D10+J8)*10)*A22)*(R10/8)</f>
        <v>8.817407105408</v>
      </c>
      <c r="O22" s="119" t="s">
        <v>210</v>
      </c>
      <c r="P22" s="120">
        <f>N22/(SUM(L16:L18))</f>
        <v>0.215662565070197</v>
      </c>
      <c r="Q22" s="119" t="s">
        <v>210</v>
      </c>
      <c r="R22" s="121">
        <f>IF(R6&gt;1,((+N22/(100/D3))/R6),+N22/(100/D3))</f>
        <v>0.96991478159488</v>
      </c>
      <c r="S22" s="122">
        <f>(R22*100)/(Q12-R43-R44)</f>
        <v>0.357103267822247</v>
      </c>
      <c r="T22" s="123" t="s">
        <v>123</v>
      </c>
    </row>
    <row r="23" spans="1:20">
      <c r="A23" s="129">
        <f>IF(D7="SI",1,0)</f>
        <v>1</v>
      </c>
      <c r="B23" s="147" t="s">
        <v>239</v>
      </c>
      <c r="C23" s="148"/>
      <c r="D23" s="149"/>
      <c r="E23" s="71">
        <f>IF(J5&gt;240000,120,IF(J5&gt;210000,96,IF(J5&gt;180000,72,IF(J5&gt;150000,64,IF(J5&gt;120000,48,IF(J5&gt;60000,24,IF(J5&gt;30000,16,12)))))))</f>
        <v>12</v>
      </c>
      <c r="G23" s="44"/>
      <c r="H23" s="44"/>
      <c r="I23" s="154"/>
      <c r="J23" s="151" t="s">
        <v>240</v>
      </c>
      <c r="K23" s="152"/>
      <c r="L23" s="150">
        <f>+Tabla!$B$99</f>
        <v>1.25</v>
      </c>
      <c r="M23" s="127" t="s">
        <v>210</v>
      </c>
      <c r="N23" s="155">
        <f>(+L23*E23/J5*1000)*A23</f>
        <v>45.4545454545455</v>
      </c>
      <c r="O23" s="119" t="s">
        <v>210</v>
      </c>
      <c r="P23" s="120">
        <f>N23/(SUM(L16:L18))</f>
        <v>1.11176037917255</v>
      </c>
      <c r="Q23" s="119" t="s">
        <v>210</v>
      </c>
      <c r="R23" s="121">
        <f>IF(R6&gt;1,((+N23/(100/D3))/R6),+N23/(100/D3))</f>
        <v>5</v>
      </c>
      <c r="S23" s="122">
        <f>(R23*100)/(Q12-R43-R44)</f>
        <v>1.8409002244251</v>
      </c>
      <c r="T23" s="123" t="s">
        <v>123</v>
      </c>
    </row>
    <row r="24" spans="1:20">
      <c r="A24" s="129">
        <f>IF(J7="SI",1,IF(J7="BI",2,0))</f>
        <v>1</v>
      </c>
      <c r="B24" s="156" t="s">
        <v>241</v>
      </c>
      <c r="C24" s="157"/>
      <c r="D24" s="66"/>
      <c r="E24" s="71">
        <f>+Tabla!$D$6*(A24+A26)</f>
        <v>1</v>
      </c>
      <c r="F24" s="158">
        <f>+J5/Tabla!$C$6*(A25+A26)</f>
        <v>0.04125</v>
      </c>
      <c r="G24" s="44"/>
      <c r="H24" s="44"/>
      <c r="I24" s="154"/>
      <c r="J24" s="159" t="s">
        <v>210</v>
      </c>
      <c r="K24" s="160">
        <f>+Tabla!$B$6</f>
        <v>41.35</v>
      </c>
      <c r="L24" s="154"/>
      <c r="M24" s="127" t="s">
        <v>210</v>
      </c>
      <c r="N24" s="128">
        <f>((E24+F24)*K24)/(J5/1000)</f>
        <v>130.47178030303</v>
      </c>
      <c r="O24" s="119" t="s">
        <v>210</v>
      </c>
      <c r="P24" s="120">
        <f>N24/(SUM(L16:L18))</f>
        <v>3.19117383070232</v>
      </c>
      <c r="Q24" s="119" t="s">
        <v>210</v>
      </c>
      <c r="R24" s="121">
        <f>IF(R6&gt;1,((+N24/(100/D3))/R6),+N24/(100/D3))</f>
        <v>14.3518958333333</v>
      </c>
      <c r="S24" s="122">
        <f>(R24*100)/(Q12-R43-R44)</f>
        <v>5.28408165210179</v>
      </c>
      <c r="T24" s="123" t="s">
        <v>123</v>
      </c>
    </row>
    <row r="25" spans="1:20">
      <c r="A25" s="129">
        <f>IF(J7="SI",1,IF(J7="BI",2,0))</f>
        <v>1</v>
      </c>
      <c r="B25" s="161" t="s">
        <v>242</v>
      </c>
      <c r="C25" s="162"/>
      <c r="D25" s="163"/>
      <c r="E25" s="44"/>
      <c r="F25" s="44"/>
      <c r="G25" s="44"/>
      <c r="H25" s="44"/>
      <c r="I25" s="154"/>
      <c r="J25" s="151" t="s">
        <v>238</v>
      </c>
      <c r="K25" s="152"/>
      <c r="L25" s="150">
        <f>IF(J7="SI",+(((Tabla!$B$123/1000*Tabla!$C$123)+(Tabla!$B$124/1000*Tabla!C350))*Tabla!$B$122)*A25,IF(J7="BI",+(((Tabla!$B$123/1000*Tabla!$C$123)+(Tabla!$B$124/1000*Tabla!C350))*Tabla!$B$122)*A25,0))</f>
        <v>0.012474</v>
      </c>
      <c r="M25" s="127" t="s">
        <v>210</v>
      </c>
      <c r="N25" s="128">
        <f>L25*((D10+J9+J10)*10)</f>
        <v>5.48856</v>
      </c>
      <c r="O25" s="119" t="s">
        <v>210</v>
      </c>
      <c r="P25" s="120">
        <f>N25/(SUM(L16:L18))</f>
        <v>0.134243198027648</v>
      </c>
      <c r="Q25" s="119" t="s">
        <v>210</v>
      </c>
      <c r="R25" s="121">
        <f>IF(R6&gt;1,((+N25/(100/D3))/R6),+N25/(100/D3))</f>
        <v>0.6037416</v>
      </c>
      <c r="S25" s="122">
        <f>(R25*100)/(Q12-R43-R44)</f>
        <v>0.222285609386953</v>
      </c>
      <c r="T25" s="123" t="s">
        <v>123</v>
      </c>
    </row>
    <row r="26" spans="1:20">
      <c r="A26" s="129">
        <f>IF(N7="SI",1,IF(N7="BI",2,0))</f>
        <v>1</v>
      </c>
      <c r="B26" s="161" t="s">
        <v>243</v>
      </c>
      <c r="C26" s="162"/>
      <c r="D26" s="163"/>
      <c r="E26" s="44"/>
      <c r="F26" s="44"/>
      <c r="G26" s="44"/>
      <c r="H26" s="44"/>
      <c r="I26" s="154"/>
      <c r="J26" s="151" t="s">
        <v>238</v>
      </c>
      <c r="K26" s="152"/>
      <c r="L26" s="150">
        <f>IF(N7="SI",+((Tabla!$B$127/1000)*Tabla!$B$126)*A26,IF(N7="BI",+((Tabla!$B$127/1000)*Tabla!$B$126)*A26,0))</f>
        <v>0.04452</v>
      </c>
      <c r="M26" s="127" t="s">
        <v>210</v>
      </c>
      <c r="N26" s="128">
        <f>L26*(D10*10)</f>
        <v>19.5888</v>
      </c>
      <c r="O26" s="119" t="s">
        <v>210</v>
      </c>
      <c r="P26" s="120">
        <f>N26/(SUM(L16:L18))</f>
        <v>0.479117137741775</v>
      </c>
      <c r="Q26" s="119" t="s">
        <v>210</v>
      </c>
      <c r="R26" s="121">
        <f>IF(R6&gt;1,((+N26/(100/D3))/R6),+N26/(100/D3))</f>
        <v>2.154768</v>
      </c>
      <c r="S26" s="122">
        <f>(R26*100)/(Q12-R43-R44)</f>
        <v>0.793342578956804</v>
      </c>
      <c r="T26" s="123" t="s">
        <v>123</v>
      </c>
    </row>
    <row r="27" spans="1:20">
      <c r="A27" s="164"/>
      <c r="B27" s="165" t="s">
        <v>244</v>
      </c>
      <c r="C27" s="166"/>
      <c r="D27" s="167"/>
      <c r="E27" s="71">
        <f>+Tabla!$D$7</f>
        <v>0</v>
      </c>
      <c r="F27" s="158">
        <f>+J5/Tabla!$C$7</f>
        <v>0.04125</v>
      </c>
      <c r="G27" s="44"/>
      <c r="H27" s="44"/>
      <c r="I27" s="154"/>
      <c r="J27" s="159" t="s">
        <v>210</v>
      </c>
      <c r="K27" s="160">
        <f>+Tabla!$B$7</f>
        <v>39.54</v>
      </c>
      <c r="L27" s="168"/>
      <c r="M27" s="127" t="s">
        <v>210</v>
      </c>
      <c r="N27" s="128">
        <f>((E27+F27)*K27)/(J5/1000)</f>
        <v>4.9425</v>
      </c>
      <c r="O27" s="119" t="s">
        <v>210</v>
      </c>
      <c r="P27" s="120">
        <f>N27/(SUM(L16:L18))</f>
        <v>0.120887264829327</v>
      </c>
      <c r="Q27" s="119" t="s">
        <v>210</v>
      </c>
      <c r="R27" s="121">
        <f>IF(R6&gt;1,((+N27/(100/D3))/R6),+N27/(100/D3))</f>
        <v>0.543675</v>
      </c>
      <c r="S27" s="122">
        <f>(R27*100)/(Q12-R43-R44)</f>
        <v>0.200170285902863</v>
      </c>
      <c r="T27" s="123" t="s">
        <v>123</v>
      </c>
    </row>
    <row r="28" spans="1:20">
      <c r="A28" s="169">
        <f>+Tabla!$E$7</f>
        <v>0.05</v>
      </c>
      <c r="B28" s="170" t="s">
        <v>245</v>
      </c>
      <c r="C28" s="171"/>
      <c r="D28" s="172"/>
      <c r="E28" s="44"/>
      <c r="F28" s="44"/>
      <c r="G28" s="44"/>
      <c r="H28" s="44"/>
      <c r="I28" s="154"/>
      <c r="J28" s="44"/>
      <c r="K28" s="44"/>
      <c r="L28" s="44"/>
      <c r="M28" s="119" t="s">
        <v>210</v>
      </c>
      <c r="N28" s="173">
        <f>((SUM(P16:P27))*A28)</f>
        <v>1.1665605376137</v>
      </c>
      <c r="O28" s="119" t="s">
        <v>210</v>
      </c>
      <c r="P28" s="173">
        <f>((SUM(P16:P27))*A28)</f>
        <v>1.1665605376137</v>
      </c>
      <c r="Q28" s="119" t="s">
        <v>210</v>
      </c>
      <c r="R28" s="121">
        <f>+N28/(100/D3)</f>
        <v>0.128321659137507</v>
      </c>
      <c r="S28" s="122">
        <f>(R28*100)/(Q12-R43-R44)</f>
        <v>0.0472454742209676</v>
      </c>
      <c r="T28" s="123" t="s">
        <v>123</v>
      </c>
    </row>
    <row r="29" spans="1:20">
      <c r="A29" s="164"/>
      <c r="B29" s="174" t="s">
        <v>273</v>
      </c>
      <c r="C29" s="175"/>
      <c r="D29" s="176"/>
      <c r="E29" s="44"/>
      <c r="F29" s="44"/>
      <c r="G29" s="44"/>
      <c r="H29" s="44"/>
      <c r="I29" s="154"/>
      <c r="J29" s="154"/>
      <c r="K29" s="44"/>
      <c r="L29" s="44"/>
      <c r="M29" s="44"/>
      <c r="O29" s="177" t="s">
        <v>210</v>
      </c>
      <c r="P29" s="178">
        <f>SUM(P16:P28)</f>
        <v>24.4977712898878</v>
      </c>
      <c r="Q29" s="44"/>
      <c r="R29" s="154"/>
      <c r="S29" s="44"/>
      <c r="T29" s="179"/>
    </row>
    <row r="30" spans="1:20">
      <c r="A30" s="180">
        <f>IF(D3&gt;=38,Tabla!$E$155,IF(D3&gt;=25,Tabla!$E$150,IF(D3&gt;=18,Tabla!$E$147,IF(D3&gt;=15,Tabla!$E$144,Tabla!$E$139))))-(A31*Tabla!$G$139)</f>
        <v>65</v>
      </c>
      <c r="B30" s="130" t="s">
        <v>274</v>
      </c>
      <c r="C30" s="131"/>
      <c r="D30" s="132"/>
      <c r="E30" s="47">
        <v>1</v>
      </c>
      <c r="F30" s="158">
        <f>+J4/+(A30*60)</f>
        <v>0.769230769230769</v>
      </c>
      <c r="G30" s="44"/>
      <c r="H30" s="44"/>
      <c r="I30" s="154"/>
      <c r="J30" s="159" t="s">
        <v>210</v>
      </c>
      <c r="K30" s="160">
        <f>+Tabla!$B$8</f>
        <v>60.01</v>
      </c>
      <c r="L30" s="150">
        <f>+(((+E30+F30)*K30)/J4)*1000</f>
        <v>35.3905128205128</v>
      </c>
      <c r="M30" s="127" t="s">
        <v>210</v>
      </c>
      <c r="N30" s="128">
        <f>((E30+F30)*K30)/(J5/1000)</f>
        <v>321.731934731935</v>
      </c>
      <c r="O30" s="119" t="s">
        <v>210</v>
      </c>
      <c r="P30" s="120">
        <f>N30/(SUM(L16:L18))</f>
        <v>7.86915399048885</v>
      </c>
      <c r="Q30" s="139" t="s">
        <v>210</v>
      </c>
      <c r="R30" s="181">
        <f>+N30/(100/D3)</f>
        <v>35.3905128205128</v>
      </c>
      <c r="S30" s="122">
        <f>(R30*100)/(Q12-R43-R44)</f>
        <v>13.0300805987603</v>
      </c>
      <c r="T30" s="123" t="s">
        <v>123</v>
      </c>
    </row>
    <row r="31" spans="1:20">
      <c r="A31" s="129">
        <f>IF(S3="SI",1,0)</f>
        <v>1</v>
      </c>
      <c r="B31" s="170" t="s">
        <v>140</v>
      </c>
      <c r="C31" s="171"/>
      <c r="D31" s="172"/>
      <c r="E31" s="71" t="s">
        <v>5</v>
      </c>
      <c r="F31" s="126">
        <f>+Tabla!$F$8</f>
        <v>100</v>
      </c>
      <c r="G31" s="44"/>
      <c r="H31" s="44"/>
      <c r="I31" s="154"/>
      <c r="J31" s="44"/>
      <c r="K31" s="154"/>
      <c r="L31" s="154"/>
      <c r="M31" s="127" t="s">
        <v>210</v>
      </c>
      <c r="N31" s="128">
        <f>+Tabla!$B$132*(1000+F31)*A31</f>
        <v>47.1947194719472</v>
      </c>
      <c r="O31" s="119" t="s">
        <v>210</v>
      </c>
      <c r="P31" s="120">
        <f>N31/(SUM(L16:L18))</f>
        <v>1.15432282273163</v>
      </c>
      <c r="Q31" s="119" t="s">
        <v>210</v>
      </c>
      <c r="R31" s="181">
        <f>+N31/(100/D3)</f>
        <v>5.19141914191419</v>
      </c>
      <c r="S31" s="122">
        <f>(R31*100)/(Q12-R43-R44)</f>
        <v>1.91137693268692</v>
      </c>
      <c r="T31" s="123" t="s">
        <v>123</v>
      </c>
    </row>
    <row r="32" spans="1:20">
      <c r="A32" s="129">
        <f>IF(S4="SI",1,0)</f>
        <v>1</v>
      </c>
      <c r="B32" s="170" t="s">
        <v>10</v>
      </c>
      <c r="C32" s="171"/>
      <c r="D32" s="172"/>
      <c r="E32" s="71" t="s">
        <v>5</v>
      </c>
      <c r="F32" s="126">
        <f>+Tabla!$F$8</f>
        <v>100</v>
      </c>
      <c r="G32" s="44"/>
      <c r="H32" s="44"/>
      <c r="I32" s="154"/>
      <c r="J32" s="44"/>
      <c r="K32" s="154"/>
      <c r="L32" s="154"/>
      <c r="M32" s="127" t="s">
        <v>210</v>
      </c>
      <c r="N32" s="128">
        <f>+Tabla!$E$132*(1000+F32)*A32</f>
        <v>16.5</v>
      </c>
      <c r="O32" s="119" t="s">
        <v>210</v>
      </c>
      <c r="P32" s="120">
        <f>N32/(SUM(L16:L18))</f>
        <v>0.403569017639635</v>
      </c>
      <c r="Q32" s="119" t="s">
        <v>210</v>
      </c>
      <c r="R32" s="182">
        <f>+Tabla!$E$132*(1000+F32)*A32</f>
        <v>16.5</v>
      </c>
      <c r="S32" s="122">
        <f>(R32*100)/(Q12-R43-R44)</f>
        <v>6.07497074060282</v>
      </c>
      <c r="T32" s="123" t="s">
        <v>123</v>
      </c>
    </row>
    <row r="33" spans="1:20">
      <c r="A33" s="169">
        <f>+Tabla!$E$8</f>
        <v>0.15</v>
      </c>
      <c r="B33" s="170" t="s">
        <v>275</v>
      </c>
      <c r="C33" s="171"/>
      <c r="D33" s="172"/>
      <c r="E33" s="44"/>
      <c r="F33" s="44"/>
      <c r="G33" s="44"/>
      <c r="H33" s="44"/>
      <c r="I33" s="154"/>
      <c r="J33" s="44"/>
      <c r="K33" s="154"/>
      <c r="L33" s="154"/>
      <c r="M33" s="127" t="s">
        <v>210</v>
      </c>
      <c r="N33" s="128">
        <f>+(P29*A33)/(100000/D3)*1000</f>
        <v>0.404213226283148</v>
      </c>
      <c r="O33" s="119" t="s">
        <v>210</v>
      </c>
      <c r="P33" s="120">
        <f>N33/(SUM(L16:L18))</f>
        <v>0.00988654149382047</v>
      </c>
      <c r="Q33" s="119" t="s">
        <v>210</v>
      </c>
      <c r="R33" s="121">
        <f>SUM(R16:R31)*A33</f>
        <v>21.8459081377411</v>
      </c>
      <c r="S33" s="122">
        <f>(R33*100)/(Q12-R43-R44)</f>
        <v>8.04322743870754</v>
      </c>
      <c r="T33" s="123" t="s">
        <v>123</v>
      </c>
    </row>
    <row r="34" spans="1:20">
      <c r="A34" s="180">
        <f>+Tabla!$C$10</f>
        <v>20</v>
      </c>
      <c r="B34" s="130" t="s">
        <v>276</v>
      </c>
      <c r="C34" s="131"/>
      <c r="D34" s="132"/>
      <c r="E34" s="47">
        <f>+Tabla!$D$10</f>
        <v>0.5</v>
      </c>
      <c r="F34" s="158">
        <f>+J4/+(A34*60)</f>
        <v>2.5</v>
      </c>
      <c r="G34" s="44"/>
      <c r="H34" s="44"/>
      <c r="I34" s="154"/>
      <c r="J34" s="159" t="s">
        <v>210</v>
      </c>
      <c r="K34" s="160">
        <f>+Tabla!$B$10</f>
        <v>20.0033333333333</v>
      </c>
      <c r="L34" s="150">
        <f>+(((+E34+F34)*K34)/J4)*1000</f>
        <v>20.0033333333333</v>
      </c>
      <c r="M34" s="127" t="s">
        <v>210</v>
      </c>
      <c r="N34" s="128">
        <f>((E34+F34)*K34)/(J5/1000)</f>
        <v>181.848484848485</v>
      </c>
      <c r="O34" s="183" t="s">
        <v>210</v>
      </c>
      <c r="P34" s="184">
        <f>N34/(SUM(L16:L18))</f>
        <v>4.44778269027631</v>
      </c>
      <c r="Q34" s="139" t="s">
        <v>210</v>
      </c>
      <c r="R34" s="181">
        <f>+N34/(100/D3)*A35</f>
        <v>20.0033333333333</v>
      </c>
      <c r="S34" s="122">
        <f>(R34*100)/(Q12-R43-R44)</f>
        <v>7.36482816451667</v>
      </c>
      <c r="T34" s="123" t="s">
        <v>123</v>
      </c>
    </row>
    <row r="35" spans="1:20">
      <c r="A35" s="129">
        <f>IF(S5="SI",1,0)</f>
        <v>1</v>
      </c>
      <c r="B35" s="170" t="s">
        <v>277</v>
      </c>
      <c r="C35" s="171"/>
      <c r="D35" s="172"/>
      <c r="E35" s="71" t="s">
        <v>5</v>
      </c>
      <c r="F35" s="126">
        <f>+Tabla!$F$10</f>
        <v>100</v>
      </c>
      <c r="G35" s="44"/>
      <c r="H35" s="44"/>
      <c r="I35" s="154"/>
      <c r="J35" s="44"/>
      <c r="K35" s="154"/>
      <c r="L35" s="154"/>
      <c r="M35" s="127" t="s">
        <v>210</v>
      </c>
      <c r="N35" s="128">
        <f>+Tabla!$E$133*(1000+F35)*A35</f>
        <v>35.4548877887789</v>
      </c>
      <c r="O35" s="183" t="s">
        <v>210</v>
      </c>
      <c r="P35" s="184">
        <f>N35/(SUM(L16:L18))</f>
        <v>0.867181468814605</v>
      </c>
      <c r="Q35" s="119" t="s">
        <v>210</v>
      </c>
      <c r="R35" s="182">
        <f>+Tabla!$E$133*(1000+F35)*A35</f>
        <v>35.4548877887789</v>
      </c>
      <c r="S35" s="122">
        <f>(R35*100)/(Q12-R43-R44)</f>
        <v>13.0537821774659</v>
      </c>
      <c r="T35" s="123" t="s">
        <v>123</v>
      </c>
    </row>
    <row r="36" spans="1:20">
      <c r="A36" s="169">
        <f>+Tabla!$E$10</f>
        <v>0.05</v>
      </c>
      <c r="B36" s="170" t="s">
        <v>278</v>
      </c>
      <c r="C36" s="171"/>
      <c r="D36" s="172"/>
      <c r="E36" s="44"/>
      <c r="F36" s="44"/>
      <c r="G36" s="44"/>
      <c r="H36" s="44"/>
      <c r="I36" s="154"/>
      <c r="J36" s="44"/>
      <c r="K36" s="154"/>
      <c r="L36" s="154"/>
      <c r="M36" s="127" t="s">
        <v>210</v>
      </c>
      <c r="N36" s="128">
        <f>+(P29*A36)/(100000/D3)*1000</f>
        <v>0.134737742094383</v>
      </c>
      <c r="O36" s="183" t="s">
        <v>210</v>
      </c>
      <c r="P36" s="184">
        <f>N36/(SUM(L16:L18))</f>
        <v>0.00329551383127349</v>
      </c>
      <c r="Q36" s="119" t="s">
        <v>210</v>
      </c>
      <c r="R36" s="121">
        <f>SUM(R16:R35)*A36*A35</f>
        <v>11.9721758422397</v>
      </c>
      <c r="S36" s="122">
        <f>(R36*100)/(Q12-R43-R44)</f>
        <v>4.40791623896716</v>
      </c>
      <c r="T36" s="123" t="s">
        <v>123</v>
      </c>
    </row>
    <row r="37" spans="1:20">
      <c r="A37" s="180">
        <f>IF(D3&gt;22.1,400,IF(D3&gt;=15,1000,IF(D3&gt;=12,1500,2000)))</f>
        <v>2000</v>
      </c>
      <c r="B37" s="170" t="s">
        <v>279</v>
      </c>
      <c r="C37" s="171"/>
      <c r="D37" s="185"/>
      <c r="E37" s="44"/>
      <c r="F37" s="44"/>
      <c r="G37" s="44"/>
      <c r="H37" s="44"/>
      <c r="I37" s="154"/>
      <c r="J37" s="44"/>
      <c r="K37" s="154"/>
      <c r="L37" s="154"/>
      <c r="M37" s="127" t="s">
        <v>210</v>
      </c>
      <c r="N37" s="128">
        <f>+Tabla!$B$133/A37*1000</f>
        <v>0.188221122112211</v>
      </c>
      <c r="O37" s="183" t="s">
        <v>210</v>
      </c>
      <c r="P37" s="184">
        <f>N37/(SUM(L16:L18))</f>
        <v>0.0046036492939306</v>
      </c>
      <c r="Q37" s="119" t="s">
        <v>210</v>
      </c>
      <c r="R37" s="121">
        <f>1000/A37*N37</f>
        <v>0.0941105610561056</v>
      </c>
      <c r="S37" s="122">
        <f>(R37*100)/(Q12-R43-R44)</f>
        <v>0.0346496305937913</v>
      </c>
      <c r="T37" s="123" t="s">
        <v>123</v>
      </c>
    </row>
    <row r="38" spans="1:20">
      <c r="A38" s="129">
        <f>+T11</f>
        <v>1</v>
      </c>
      <c r="B38" s="124" t="s">
        <v>216</v>
      </c>
      <c r="C38" s="30"/>
      <c r="D38" s="46" t="str">
        <f>+S12</f>
        <v>Caba</v>
      </c>
      <c r="E38" s="186">
        <f>+T12</f>
        <v>900</v>
      </c>
      <c r="F38" s="158">
        <f>INDEX(Tabla!$B$162:$E$187,MATCH(S12,Tabla!$A$162:$A$187,0),MATCH(T12,Tabla!$B$161:$E$161,0))*A38</f>
        <v>57.1821782178218</v>
      </c>
      <c r="G38" s="44"/>
      <c r="H38" s="44"/>
      <c r="I38" s="44"/>
      <c r="J38" s="154"/>
      <c r="K38" s="154"/>
      <c r="L38" s="154"/>
      <c r="M38" s="44"/>
      <c r="N38" s="44"/>
      <c r="O38" s="139" t="s">
        <v>210</v>
      </c>
      <c r="P38" s="187">
        <f>F38/(SUM(J6))</f>
        <v>4.23819200915718</v>
      </c>
      <c r="Q38" s="119" t="s">
        <v>210</v>
      </c>
      <c r="R38" s="121">
        <f>+J6*P38/J4*1000</f>
        <v>19.0607260726073</v>
      </c>
      <c r="S38" s="122">
        <f>(R38*100)/(Q12-R43-R44)</f>
        <v>7.0177789809536</v>
      </c>
      <c r="T38" s="123" t="s">
        <v>123</v>
      </c>
    </row>
    <row r="39" spans="1:20">
      <c r="A39" s="129">
        <f>IF(J11="SI",1,0)</f>
        <v>0</v>
      </c>
      <c r="B39" s="156" t="s">
        <v>269</v>
      </c>
      <c r="C39" s="157"/>
      <c r="D39" s="66"/>
      <c r="E39" s="44"/>
      <c r="F39" s="44"/>
      <c r="G39" s="44"/>
      <c r="H39" s="44"/>
      <c r="I39" s="154"/>
      <c r="J39" s="154"/>
      <c r="K39" s="44"/>
      <c r="L39" s="44"/>
      <c r="M39" s="44"/>
      <c r="N39" s="44"/>
      <c r="O39" s="183" t="s">
        <v>210</v>
      </c>
      <c r="P39" s="184">
        <f>(+L11/J6)*A39</f>
        <v>0</v>
      </c>
      <c r="Q39" s="119" t="s">
        <v>210</v>
      </c>
      <c r="R39" s="121">
        <f>(+L11/J4)*A39</f>
        <v>0</v>
      </c>
      <c r="S39" s="122">
        <f>(R39*100)/(Q12-R43-R44)</f>
        <v>0</v>
      </c>
      <c r="T39" s="123" t="s">
        <v>123</v>
      </c>
    </row>
    <row r="40" spans="1:20">
      <c r="A40" s="188"/>
      <c r="B40" s="174" t="s">
        <v>280</v>
      </c>
      <c r="C40" s="175"/>
      <c r="D40" s="176"/>
      <c r="E40" s="44"/>
      <c r="F40" s="44"/>
      <c r="G40" s="44"/>
      <c r="H40" s="44"/>
      <c r="I40" s="154"/>
      <c r="J40" s="44"/>
      <c r="K40" s="154"/>
      <c r="L40" s="154"/>
      <c r="M40" s="44"/>
      <c r="N40" s="44"/>
      <c r="O40" s="189" t="s">
        <v>210</v>
      </c>
      <c r="P40" s="178">
        <f>SUM(P30:P39)</f>
        <v>18.9979877037272</v>
      </c>
      <c r="Q40" s="119"/>
      <c r="R40" s="181"/>
      <c r="S40" s="190">
        <f>(SUM(R20,R24,R27,R30)+SUM(A42:A44)+E43)/100</f>
        <v>1.53035476987179</v>
      </c>
      <c r="T40" s="191" t="s">
        <v>281</v>
      </c>
    </row>
    <row r="41" ht="15.75" spans="1:20">
      <c r="A41" s="192" t="s">
        <v>246</v>
      </c>
      <c r="B41" s="193"/>
      <c r="C41" s="193"/>
      <c r="D41" s="193"/>
      <c r="E41" s="193"/>
      <c r="F41" s="193"/>
      <c r="G41" s="193"/>
      <c r="H41" s="193"/>
      <c r="I41" s="193"/>
      <c r="J41" s="194"/>
      <c r="K41" s="195" t="s">
        <v>247</v>
      </c>
      <c r="L41" s="196" t="s">
        <v>248</v>
      </c>
      <c r="M41" s="197"/>
      <c r="N41" s="198"/>
      <c r="O41" s="199" t="s">
        <v>210</v>
      </c>
      <c r="P41" s="200">
        <f>+P40+P29</f>
        <v>43.495758993615</v>
      </c>
      <c r="Q41" s="199" t="s">
        <v>210</v>
      </c>
      <c r="R41" s="201">
        <f>SUM(R16:R39)+(R45*A45)</f>
        <v>270.570529320697</v>
      </c>
      <c r="S41" s="202" t="s">
        <v>282</v>
      </c>
      <c r="T41" s="203"/>
    </row>
    <row r="42" spans="1:20">
      <c r="A42" s="204">
        <f>IF(AND(D3&lt;=18,J6&lt;=Tabla!$B$217),Tabla!$B$218,IF(AND(D3&lt;=18,J6&lt;=Tabla!$C$217),Tabla!$C$218,IF(AND(D3&lt;=18,J6&lt;=Tabla!$D$217),Tabla!$D$218,IF(AND(D3&lt;=18,J6&lt;=Tabla!$E$217),Tabla!$E$218,IF(AND(D3&lt;=18,J6&lt;=Tabla!$F$217),Tabla!$F$218,IF(AND(D3&lt;=18,J6&lt;=Tabla!$G$217),Tabla!$G$218,IF(AND(D3&lt;=18,J6&lt;=Tabla!$H$217),Tabla!$H$218,IF(AND(D3&lt;=18,J6&lt;=Tabla!$I$217),Tabla!$I$218,IF(AND(D3&gt;=18,J6&lt;=Tabla!$B$217),Tabla!$B$220,IF(AND(D3&gt;=18,J6&lt;=Tabla!$C$217),Tabla!$C$220,IF(AND(D3&gt;=18,J6&lt;=Tabla!$D$217),Tabla!$D$220,IF(AND(D3&gt;=18,J6&lt;=Tabla!$E$217),Tabla!$E$220,IF(AND(D3&gt;=18,J6&lt;=Tabla!$F$217),Tabla!$F$220,IF(AND(D3&gt;=18,J6&lt;=Tabla!$G$217),Tabla!$G$220,IF(AND(D3&gt;=18,J6&lt;=Tabla!$H$217),Tabla!$H$220,Tabla!$I$220)))))))))))))))</f>
        <v>51.3</v>
      </c>
      <c r="B42" s="205" t="s">
        <v>250</v>
      </c>
      <c r="C42" s="206" t="s">
        <v>161</v>
      </c>
      <c r="D42" s="207"/>
      <c r="E42" s="208" t="str">
        <f>+K1</f>
        <v>A</v>
      </c>
      <c r="F42" s="144" t="s">
        <v>210</v>
      </c>
      <c r="G42" s="209">
        <f>+I42*J6</f>
        <v>891.666048446581</v>
      </c>
      <c r="H42" s="210"/>
      <c r="I42" s="211">
        <f>+((((R42*J4)/1000)/J6))</f>
        <v>66.0879322744172</v>
      </c>
      <c r="J42" s="212" t="s">
        <v>251</v>
      </c>
      <c r="K42" s="213">
        <f>+((((T44*J4)/1000)/J6))</f>
        <v>72.3666125222899</v>
      </c>
      <c r="L42" s="214" t="s">
        <v>283</v>
      </c>
      <c r="M42" s="215"/>
      <c r="N42" s="216"/>
      <c r="O42" s="217" t="s">
        <v>210</v>
      </c>
      <c r="P42" s="218">
        <f>(P46*(A42/100))</f>
        <v>47.7801378238212</v>
      </c>
      <c r="Q42" s="119" t="s">
        <v>210</v>
      </c>
      <c r="R42" s="121">
        <f>(R46*(A42/100))</f>
        <v>297.22201614886</v>
      </c>
      <c r="S42" s="219" t="s">
        <v>210</v>
      </c>
      <c r="T42" s="220">
        <f>+R50-R48</f>
        <v>27.5934802522858</v>
      </c>
    </row>
    <row r="43" spans="1:20">
      <c r="A43" s="129">
        <f>IF(K1="A",Tabla!$J$217,IF(K1="B",Tabla!$K$217,IF(K1="C",Tabla!$L$217,Tabla!$M$217)))</f>
        <v>0</v>
      </c>
      <c r="B43" s="221" t="s">
        <v>123</v>
      </c>
      <c r="C43" s="39" t="s">
        <v>181</v>
      </c>
      <c r="D43" s="40"/>
      <c r="E43" s="71">
        <f>+N1</f>
        <v>9.833</v>
      </c>
      <c r="F43" s="222" t="s">
        <v>210</v>
      </c>
      <c r="G43" s="223">
        <f>+I43*J6</f>
        <v>1059.15917143465</v>
      </c>
      <c r="H43" s="224"/>
      <c r="I43" s="225">
        <f>+((((R43*J4)/1000)/J6))</f>
        <v>78.5020801358842</v>
      </c>
      <c r="J43" s="226" t="s">
        <v>251</v>
      </c>
      <c r="K43" s="227">
        <f>K42*J6</f>
        <v>976.378730677788</v>
      </c>
      <c r="L43" s="228" t="s">
        <v>9</v>
      </c>
      <c r="M43" s="229"/>
      <c r="N43" s="230"/>
      <c r="O43" s="119" t="s">
        <v>210</v>
      </c>
      <c r="P43" s="173">
        <f>+P48-P41-P44</f>
        <v>56.938463266738</v>
      </c>
      <c r="Q43" s="119" t="s">
        <v>210</v>
      </c>
      <c r="R43" s="121">
        <f>+R48-R41-R44</f>
        <v>353.053057144882</v>
      </c>
      <c r="S43" s="231" t="s">
        <v>284</v>
      </c>
      <c r="T43" s="232"/>
    </row>
    <row r="44" spans="1:20">
      <c r="A44" s="233">
        <f>IF(S1="AK",Tabla!$B$191,IF(S1="PM",Tabla!$B$192,IF(S1="4P",Tabla!$B$193,Tabla!$B$194)))+T2</f>
        <v>2</v>
      </c>
      <c r="B44" s="221" t="s">
        <v>252</v>
      </c>
      <c r="C44" s="234"/>
      <c r="D44" s="235"/>
      <c r="E44" s="71" t="str">
        <f>+S1</f>
        <v>AK</v>
      </c>
      <c r="F44" s="159" t="s">
        <v>210</v>
      </c>
      <c r="G44" s="236">
        <f>+I44*J6</f>
        <v>38.1810359060559</v>
      </c>
      <c r="H44" s="237"/>
      <c r="I44" s="225">
        <f>+(((R44*J4)/1000)/J6)</f>
        <v>2.82987753040782</v>
      </c>
      <c r="J44" s="226" t="s">
        <v>251</v>
      </c>
      <c r="K44" s="238" t="s">
        <v>285</v>
      </c>
      <c r="L44" s="239" t="s">
        <v>210</v>
      </c>
      <c r="M44" s="240">
        <f>+I43-P43</f>
        <v>21.5636168691462</v>
      </c>
      <c r="O44" s="119" t="s">
        <v>210</v>
      </c>
      <c r="P44" s="173">
        <f>+P46*(A44/100)</f>
        <v>1.86277340443747</v>
      </c>
      <c r="Q44" s="139" t="s">
        <v>210</v>
      </c>
      <c r="R44" s="181">
        <f>+R48*(A44/100)</f>
        <v>12.7270119686853</v>
      </c>
      <c r="S44" s="219" t="s">
        <v>210</v>
      </c>
      <c r="T44" s="220">
        <f>+R43-T42</f>
        <v>325.459576892596</v>
      </c>
    </row>
    <row r="45" ht="15.75" spans="1:20">
      <c r="A45" s="241">
        <v>0</v>
      </c>
      <c r="B45" s="170" t="s">
        <v>286</v>
      </c>
      <c r="C45" s="171"/>
      <c r="D45" s="172"/>
      <c r="E45" s="242">
        <v>1</v>
      </c>
      <c r="F45" s="222" t="s">
        <v>210</v>
      </c>
      <c r="G45" s="243">
        <f>+(D10*(N9+3)*S10*0.055)</f>
        <v>454.96</v>
      </c>
      <c r="H45" s="244"/>
      <c r="I45" s="225">
        <f>+G45/J6</f>
        <v>33.7204334738895</v>
      </c>
      <c r="J45" s="212" t="s">
        <v>251</v>
      </c>
      <c r="K45" s="245">
        <f>+G43-K43</f>
        <v>82.7804407568572</v>
      </c>
      <c r="L45" s="154"/>
      <c r="M45" s="44"/>
      <c r="N45" s="44"/>
      <c r="O45" s="139" t="s">
        <v>210</v>
      </c>
      <c r="P45" s="187">
        <f>+I45*A45</f>
        <v>0</v>
      </c>
      <c r="Q45" s="119" t="s">
        <v>210</v>
      </c>
      <c r="R45" s="181">
        <f>(+J6*I45/J4*1000)*A45</f>
        <v>0</v>
      </c>
      <c r="S45" s="246"/>
      <c r="T45" s="247"/>
    </row>
    <row r="46" ht="15.75" spans="1:20">
      <c r="A46" s="248" t="s">
        <v>254</v>
      </c>
      <c r="B46" s="249" t="s">
        <v>255</v>
      </c>
      <c r="C46" s="250"/>
      <c r="D46" s="250"/>
      <c r="E46" s="251"/>
      <c r="F46" s="159" t="s">
        <v>210</v>
      </c>
      <c r="G46" s="223">
        <f>+I46*J6</f>
        <v>1059.15917143465</v>
      </c>
      <c r="H46" s="224"/>
      <c r="I46" s="225">
        <f>I43-(I45*E45*A45)</f>
        <v>78.5020801358842</v>
      </c>
      <c r="J46" s="212" t="s">
        <v>251</v>
      </c>
      <c r="K46" s="44"/>
      <c r="L46" s="44"/>
      <c r="M46" s="44"/>
      <c r="N46" s="44"/>
      <c r="O46" s="252" t="s">
        <v>210</v>
      </c>
      <c r="P46" s="253">
        <f>+P41/(1-((A42+A44)/100))</f>
        <v>93.1386702218737</v>
      </c>
      <c r="Q46" s="254" t="s">
        <v>210</v>
      </c>
      <c r="R46" s="255">
        <f>+R41/(1-((A42+A44)/100))</f>
        <v>579.380148438324</v>
      </c>
      <c r="T46" s="179"/>
    </row>
    <row r="47" ht="15.75" spans="1:20">
      <c r="A47" s="258"/>
      <c r="B47" s="259"/>
      <c r="C47" s="259"/>
      <c r="D47" s="259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60" t="s">
        <v>210</v>
      </c>
      <c r="P47" s="261">
        <f>+P46*(E43/100)</f>
        <v>9.15832544291684</v>
      </c>
      <c r="Q47" s="254" t="s">
        <v>210</v>
      </c>
      <c r="R47" s="255">
        <f>+R46*(E43/100)</f>
        <v>56.9704499959404</v>
      </c>
      <c r="S47" s="44"/>
      <c r="T47" s="179"/>
    </row>
    <row r="48" ht="19.5" spans="1:20">
      <c r="A48" s="258"/>
      <c r="B48" s="259"/>
      <c r="C48" s="259"/>
      <c r="D48" s="259"/>
      <c r="E48" s="44"/>
      <c r="F48" s="263" t="s">
        <v>270</v>
      </c>
      <c r="G48" s="264"/>
      <c r="H48" s="264"/>
      <c r="I48" s="264"/>
      <c r="J48" s="264"/>
      <c r="K48" s="264"/>
      <c r="L48" s="264"/>
      <c r="M48" s="264"/>
      <c r="N48" s="265"/>
      <c r="O48" s="260" t="s">
        <v>210</v>
      </c>
      <c r="P48" s="261">
        <f>+P46+P47</f>
        <v>102.296995664791</v>
      </c>
      <c r="Q48" s="254" t="s">
        <v>210</v>
      </c>
      <c r="R48" s="255">
        <f>+R46+R47</f>
        <v>636.350598434264</v>
      </c>
      <c r="S48" s="44"/>
      <c r="T48" s="179"/>
    </row>
    <row r="49" ht="19.5" spans="1:20">
      <c r="A49" s="258"/>
      <c r="B49" s="259"/>
      <c r="C49" s="259"/>
      <c r="D49" s="259"/>
      <c r="E49" s="44"/>
      <c r="F49" s="263"/>
      <c r="G49" s="264"/>
      <c r="H49" s="264"/>
      <c r="I49" s="264"/>
      <c r="J49" s="264"/>
      <c r="K49" s="264"/>
      <c r="L49" s="264"/>
      <c r="M49" s="267"/>
      <c r="N49" s="268"/>
      <c r="O49" s="269"/>
      <c r="P49" s="261"/>
      <c r="Q49" s="254" t="s">
        <v>210</v>
      </c>
      <c r="R49" s="255">
        <f>(+R41/(1-((A42+(A44+(A44*N13)))/100)))+R46*(E43/100)</f>
        <v>637.386315539088</v>
      </c>
      <c r="S49" s="44"/>
      <c r="T49" s="179"/>
    </row>
    <row r="50" ht="19.5" spans="1:20">
      <c r="A50" s="270"/>
      <c r="B50" s="271"/>
      <c r="C50" s="272"/>
      <c r="D50" s="273"/>
      <c r="E50" s="271"/>
      <c r="F50" s="263" t="s">
        <v>220</v>
      </c>
      <c r="G50" s="264"/>
      <c r="H50" s="264"/>
      <c r="I50" s="264"/>
      <c r="J50" s="274">
        <f>+K13</f>
        <v>30</v>
      </c>
      <c r="K50" s="264" t="s">
        <v>221</v>
      </c>
      <c r="L50" s="265"/>
      <c r="M50" s="275">
        <f>+N13</f>
        <v>0.0416666666666667</v>
      </c>
      <c r="N50" s="268"/>
      <c r="O50" s="276" t="s">
        <v>210</v>
      </c>
      <c r="P50" s="277">
        <f>+(P48*M50)+P48</f>
        <v>106.559370484157</v>
      </c>
      <c r="Q50" s="278" t="s">
        <v>210</v>
      </c>
      <c r="R50" s="279">
        <f>+(R49*M50)+R49</f>
        <v>663.94407868655</v>
      </c>
      <c r="S50" s="271"/>
      <c r="T50" s="280"/>
    </row>
    <row r="53" spans="1:20">
      <c r="G53" s="282"/>
      <c r="H53" s="282"/>
      <c r="I53" s="282"/>
      <c r="J53" s="282"/>
    </row>
    <row r="54" spans="1:20">
      <c r="H54" s="282"/>
      <c r="I54" s="282"/>
      <c r="J54" s="282"/>
    </row>
    <row r="55" spans="1:20">
      <c r="H55" s="282"/>
      <c r="I55" s="282"/>
      <c r="J55" s="282"/>
    </row>
    <row r="56" spans="1:20">
      <c r="H56" s="282"/>
      <c r="I56" s="282"/>
      <c r="J56" s="282"/>
    </row>
    <row r="57" spans="1:20">
      <c r="H57" s="282"/>
      <c r="I57" s="282"/>
      <c r="J57" s="282"/>
    </row>
    <row r="58" spans="1:20">
      <c r="H58" s="282"/>
      <c r="I58" s="282"/>
      <c r="J58" s="282"/>
    </row>
    <row r="59" spans="1:20">
      <c r="H59" s="282"/>
      <c r="I59" s="282"/>
      <c r="J59" s="282"/>
    </row>
    <row r="60" spans="1:20">
      <c r="H60" s="282"/>
      <c r="I60" s="282"/>
      <c r="J60" s="282"/>
    </row>
  </sheetData>
  <mergeCells count="128">
    <mergeCell ref="A1:B1"/>
    <mergeCell ref="C1:J1"/>
    <mergeCell ref="L1:M1"/>
    <mergeCell ref="S1:T1"/>
    <mergeCell ref="A2:B2"/>
    <mergeCell ref="C2:J2"/>
    <mergeCell ref="K2:L2"/>
    <mergeCell ref="M2:N2"/>
    <mergeCell ref="O2:P2"/>
    <mergeCell ref="Q2:R2"/>
    <mergeCell ref="B3:C3"/>
    <mergeCell ref="D3:E3"/>
    <mergeCell ref="G3:I3"/>
    <mergeCell ref="L3:M3"/>
    <mergeCell ref="Q3:R3"/>
    <mergeCell ref="S3:T3"/>
    <mergeCell ref="B4:C4"/>
    <mergeCell ref="D4:E4"/>
    <mergeCell ref="H4:I4"/>
    <mergeCell ref="S4:T4"/>
    <mergeCell ref="B5:C5"/>
    <mergeCell ref="D5:E5"/>
    <mergeCell ref="H5:I5"/>
    <mergeCell ref="S5:T5"/>
    <mergeCell ref="B6:C6"/>
    <mergeCell ref="D6:E6"/>
    <mergeCell ref="H6:I6"/>
    <mergeCell ref="P6:Q6"/>
    <mergeCell ref="S6:T6"/>
    <mergeCell ref="B7:C7"/>
    <mergeCell ref="G7:I7"/>
    <mergeCell ref="K7:M7"/>
    <mergeCell ref="P7:Q7"/>
    <mergeCell ref="S7:T7"/>
    <mergeCell ref="B8:C8"/>
    <mergeCell ref="D8:E8"/>
    <mergeCell ref="G8:I8"/>
    <mergeCell ref="L8:M8"/>
    <mergeCell ref="P8:Q8"/>
    <mergeCell ref="S8:T8"/>
    <mergeCell ref="B9:C9"/>
    <mergeCell ref="D9:E9"/>
    <mergeCell ref="G9:I9"/>
    <mergeCell ref="L9:M9"/>
    <mergeCell ref="P9:Q9"/>
    <mergeCell ref="S9:T9"/>
    <mergeCell ref="B10:C10"/>
    <mergeCell ref="D10:E10"/>
    <mergeCell ref="G10:I10"/>
    <mergeCell ref="L10:M10"/>
    <mergeCell ref="P10:Q10"/>
    <mergeCell ref="S10:T10"/>
    <mergeCell ref="G11:I11"/>
    <mergeCell ref="M11:O11"/>
    <mergeCell ref="P11:Q11"/>
    <mergeCell ref="G12:O12"/>
    <mergeCell ref="Q12:R12"/>
    <mergeCell ref="G13:J13"/>
    <mergeCell ref="L13:M13"/>
    <mergeCell ref="N13:O13"/>
    <mergeCell ref="Q13:R13"/>
    <mergeCell ref="A14:T14"/>
    <mergeCell ref="B15:D15"/>
    <mergeCell ref="F15:G15"/>
    <mergeCell ref="H15:I15"/>
    <mergeCell ref="M15:N15"/>
    <mergeCell ref="O15:P15"/>
    <mergeCell ref="Q15:R15"/>
    <mergeCell ref="S15:T15"/>
    <mergeCell ref="B16:D16"/>
    <mergeCell ref="F16:G16"/>
    <mergeCell ref="H16:I16"/>
    <mergeCell ref="B17:D17"/>
    <mergeCell ref="F17:G17"/>
    <mergeCell ref="H17:I17"/>
    <mergeCell ref="B18:D18"/>
    <mergeCell ref="F18:G18"/>
    <mergeCell ref="H18:I18"/>
    <mergeCell ref="B19:D19"/>
    <mergeCell ref="H19:I19"/>
    <mergeCell ref="B20:D20"/>
    <mergeCell ref="H20:I20"/>
    <mergeCell ref="B21:D21"/>
    <mergeCell ref="J21:K21"/>
    <mergeCell ref="B22:D22"/>
    <mergeCell ref="J22:K22"/>
    <mergeCell ref="B23:D23"/>
    <mergeCell ref="J23:K23"/>
    <mergeCell ref="B24:D24"/>
    <mergeCell ref="B25:D25"/>
    <mergeCell ref="J25:K25"/>
    <mergeCell ref="B26:D26"/>
    <mergeCell ref="J26:K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C38"/>
    <mergeCell ref="B39:D39"/>
    <mergeCell ref="B40:D40"/>
    <mergeCell ref="A41:J41"/>
    <mergeCell ref="L41:N41"/>
    <mergeCell ref="S41:T41"/>
    <mergeCell ref="C42:D42"/>
    <mergeCell ref="G42:H42"/>
    <mergeCell ref="L42:N42"/>
    <mergeCell ref="C43:D43"/>
    <mergeCell ref="G43:H43"/>
    <mergeCell ref="L43:N43"/>
    <mergeCell ref="S43:T43"/>
    <mergeCell ref="C44:D44"/>
    <mergeCell ref="G44:H44"/>
    <mergeCell ref="B45:D45"/>
    <mergeCell ref="G45:H45"/>
    <mergeCell ref="G46:H46"/>
    <mergeCell ref="F48:N48"/>
    <mergeCell ref="F50:I50"/>
    <mergeCell ref="K50:L50"/>
    <mergeCell ref="M50:N50"/>
    <mergeCell ref="A4:A6"/>
    <mergeCell ref="A11:F13"/>
  </mergeCells>
  <conditionalFormatting sqref="N1">
    <cfRule type="cellIs" dxfId="0" priority="80" operator="notBetween">
      <formula>0</formula>
      <formula>0</formula>
    </cfRule>
    <cfRule type="cellIs" dxfId="0" priority="81" operator="greaterThan">
      <formula>0</formula>
    </cfRule>
  </conditionalFormatting>
  <conditionalFormatting sqref="T2">
    <cfRule type="cellIs" dxfId="0" priority="82" operator="notBetween">
      <formula>0</formula>
      <formula>0</formula>
    </cfRule>
    <cfRule type="cellIs" dxfId="0" priority="83" operator="greaterThan">
      <formula>0</formula>
    </cfRule>
  </conditionalFormatting>
  <conditionalFormatting sqref="D7">
    <cfRule type="containsText" dxfId="1" priority="89" operator="between" text="NO">
      <formula>NOT(ISERROR(SEARCH("NO",D7)))</formula>
    </cfRule>
  </conditionalFormatting>
  <conditionalFormatting sqref="F7">
    <cfRule type="containsText" dxfId="1" priority="88" operator="between" text="NO">
      <formula>NOT(ISERROR(SEARCH("NO",F7)))</formula>
    </cfRule>
  </conditionalFormatting>
  <conditionalFormatting sqref="J7">
    <cfRule type="containsText" dxfId="1" priority="84" operator="between" text="NO">
      <formula>NOT(ISERROR(SEARCH("NO",J7)))</formula>
    </cfRule>
    <cfRule type="containsText" dxfId="2" priority="85" stopIfTrue="1" operator="between" text="BI">
      <formula>NOT(ISERROR(SEARCH("BI",J7)))</formula>
    </cfRule>
  </conditionalFormatting>
  <conditionalFormatting sqref="N7">
    <cfRule type="notContainsText" dxfId="1" priority="112" operator="notContains" text="SI">
      <formula>ISERROR(SEARCH("SI",N7))</formula>
    </cfRule>
  </conditionalFormatting>
  <conditionalFormatting sqref="S7">
    <cfRule type="cellIs" dxfId="0" priority="1" operator="notBetween">
      <formula>0</formula>
      <formula>0</formula>
    </cfRule>
    <cfRule type="cellIs" dxfId="0" priority="2" operator="greaterThan">
      <formula>0</formula>
    </cfRule>
  </conditionalFormatting>
  <conditionalFormatting sqref="N9">
    <cfRule type="containsText" dxfId="1" priority="93" operator="between" text="NO DISPBLE">
      <formula>NOT(ISERROR(SEARCH("NO DISPBLE",N9)))</formula>
    </cfRule>
  </conditionalFormatting>
  <conditionalFormatting sqref="S9:T9">
    <cfRule type="cellIs" dxfId="0" priority="90" operator="notEqual">
      <formula>100</formula>
    </cfRule>
  </conditionalFormatting>
  <conditionalFormatting sqref="J11">
    <cfRule type="containsText" dxfId="1" priority="79" operator="between" text="NO">
      <formula>NOT(ISERROR(SEARCH("NO",J11)))</formula>
    </cfRule>
  </conditionalFormatting>
  <conditionalFormatting sqref="L11">
    <cfRule type="cellIs" dxfId="0" priority="77" operator="greaterThan">
      <formula>0</formula>
    </cfRule>
  </conditionalFormatting>
  <conditionalFormatting sqref="R11">
    <cfRule type="cellIs" dxfId="0" priority="91" operator="notEqual">
      <formula>100</formula>
    </cfRule>
  </conditionalFormatting>
  <conditionalFormatting sqref="T11">
    <cfRule type="notContainsText" dxfId="1" priority="86" operator="notContains" text="1">
      <formula>ISERROR(SEARCH("1",T11))</formula>
    </cfRule>
  </conditionalFormatting>
  <conditionalFormatting sqref="J13">
    <cfRule type="cellIs" dxfId="0" priority="96" operator="greaterThan">
      <formula>0</formula>
    </cfRule>
  </conditionalFormatting>
  <conditionalFormatting sqref="A16:A18">
    <cfRule type="notContainsText" dxfId="1" priority="87" operator="notContains" text="1">
      <formula>ISERROR(SEARCH("1",A16))</formula>
    </cfRule>
  </conditionalFormatting>
  <conditionalFormatting sqref="A19:A20">
    <cfRule type="cellIs" dxfId="0" priority="95" operator="equal">
      <formula>"NO"</formula>
    </cfRule>
  </conditionalFormatting>
  <conditionalFormatting sqref="A39:A40">
    <cfRule type="cellIs" dxfId="0" priority="78" operator="equal">
      <formula>"NO"</formula>
    </cfRule>
  </conditionalFormatting>
  <conditionalFormatting sqref="D4:D6">
    <cfRule type="containsText" dxfId="3" priority="97" operator="between" text="BoppBlanco">
      <formula>NOT(ISERROR(SEARCH("BoppBlanco",D4)))</formula>
    </cfRule>
    <cfRule type="containsText" dxfId="4" priority="98" operator="between" text="FoilAluminio">
      <formula>NOT(ISERROR(SEARCH("FoilAluminio",D4)))</formula>
    </cfRule>
    <cfRule type="containsText" dxfId="5" priority="99" operator="between" text="PapelSeda">
      <formula>NOT(ISERROR(SEARCH("PapelSeda",D4)))</formula>
    </cfRule>
    <cfRule type="containsText" dxfId="6" priority="100" operator="between" text="PolietilenoEvohBco">
      <formula>NOT(ISERROR(SEARCH("PolietilenoEvohBco",D4)))</formula>
    </cfRule>
    <cfRule type="containsText" dxfId="7" priority="101" operator="between" text="PolietilenoEvohCtal">
      <formula>NOT(ISERROR(SEARCH("PolietilenoEvohCtal",D4)))</formula>
    </cfRule>
    <cfRule type="expression" dxfId="8" priority="102">
      <formula>D4="PolietilenoDpk"</formula>
    </cfRule>
    <cfRule type="expression" dxfId="9" priority="103" stopIfTrue="1">
      <formula>D4="BoppMate"</formula>
    </cfRule>
    <cfRule type="expression" dxfId="10" priority="104" stopIfTrue="1">
      <formula>D4="BoppCristal"</formula>
    </cfRule>
    <cfRule type="expression" dxfId="11" priority="105" stopIfTrue="1">
      <formula>D4="BoppMetalizado"</formula>
    </cfRule>
    <cfRule type="expression" dxfId="12" priority="106" stopIfTrue="1">
      <formula>D4="BoppPerladoBlanco"</formula>
    </cfRule>
    <cfRule type="expression" dxfId="13" priority="107" stopIfTrue="1">
      <formula>D4="PoliesterMetalizado"</formula>
    </cfRule>
    <cfRule type="expression" dxfId="14" priority="108" stopIfTrue="1">
      <formula>D4="PoliesterSaran"</formula>
    </cfRule>
    <cfRule type="expression" dxfId="15" priority="109" stopIfTrue="1">
      <formula>D4="PolietilenoBlanco"</formula>
    </cfRule>
    <cfRule type="expression" dxfId="16" priority="110" stopIfTrue="1">
      <formula>D4="PolietilenoCristal"</formula>
    </cfRule>
    <cfRule type="expression" dxfId="17" priority="111">
      <formula>D4="PoliesterCristal"</formula>
    </cfRule>
  </conditionalFormatting>
  <conditionalFormatting sqref="I48:I50">
    <cfRule type="cellIs" dxfId="0" priority="113" operator="greaterThan">
      <formula>0</formula>
    </cfRule>
  </conditionalFormatting>
  <conditionalFormatting sqref="J8:J10">
    <cfRule type="cellIs" dxfId="0" priority="94" operator="greaterThan">
      <formula>0</formula>
    </cfRule>
  </conditionalFormatting>
  <conditionalFormatting sqref="S3:T5">
    <cfRule type="containsText" dxfId="1" priority="92" operator="between" text="SI">
      <formula>NOT(ISERROR(SEARCH("SI",S3)))</formula>
    </cfRule>
  </conditionalFormatting>
  <dataValidations count="13">
    <dataValidation type="list" allowBlank="1" showInputMessage="1" showErrorMessage="1" sqref="K1">
      <formula1>Cliente</formula1>
    </dataValidation>
    <dataValidation type="list" allowBlank="1" showInputMessage="1" showErrorMessage="1" sqref="S1">
      <formula1>Vendedor</formula1>
    </dataValidation>
    <dataValidation type="list" allowBlank="1" showInputMessage="1" showErrorMessage="1" sqref="D7 F7 J11 S3:T5">
      <formula1>Tabla!$F$79:$G$79</formula1>
    </dataValidation>
    <dataValidation type="list" allowBlank="1" showInputMessage="1" showErrorMessage="1" sqref="J7 N7">
      <formula1>Tabla!$F$121:$H$121</formula1>
    </dataValidation>
    <dataValidation type="whole" operator="between" showInputMessage="1" showErrorMessage="1" error="Valor Mayor a 0" sqref="R8 T11">
      <formula1>1</formula1>
      <formula2>100</formula2>
    </dataValidation>
    <dataValidation type="list" allowBlank="1" showInputMessage="1" showErrorMessage="1" sqref="N10">
      <formula1>Tabla!$L$87:$L$104</formula1>
    </dataValidation>
    <dataValidation type="whole" operator="between" allowBlank="1" showInputMessage="1" showErrorMessage="1" error="Valor entre 1 y 8" sqref="R10">
      <formula1>1</formula1>
      <formula2>8</formula2>
    </dataValidation>
    <dataValidation type="list" allowBlank="1" showInputMessage="1" showErrorMessage="1" sqref="S12">
      <formula1>Tabla!$A$162:$A$188</formula1>
    </dataValidation>
    <dataValidation type="list" allowBlank="1" showInputMessage="1" showErrorMessage="1" sqref="T12">
      <formula1>Tabla!$B$161:$E$161</formula1>
    </dataValidation>
    <dataValidation type="list" allowBlank="1" showInputMessage="1" showErrorMessage="1" sqref="K13">
      <formula1>Tabla!$A$199:$A$202</formula1>
    </dataValidation>
    <dataValidation type="list" allowBlank="1" showInputMessage="1" showErrorMessage="1" sqref="B4:B6">
      <formula1>Material</formula1>
    </dataValidation>
    <dataValidation type="list" allowBlank="1" showInputMessage="1" showErrorMessage="1" sqref="D4:D6">
      <formula1>Tabla!$A$35:$R$35</formula1>
    </dataValidation>
    <dataValidation type="list" allowBlank="1" showInputMessage="1" showErrorMessage="1" sqref="F4:F6">
      <formula1>INDIRECT(D4)</formula1>
    </dataValidation>
  </dataValidations>
  <pageMargins left="0.393700787401575" right="0.708661417322835" top="0.47244094488189" bottom="0.748031496062992" header="0.31496062992126" footer="0.31496062992126"/>
  <pageSetup paperSize="9" scale="3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60"/>
  <sheetViews>
    <sheetView zoomScale="140" zoomScaleNormal="140" workbookViewId="0">
      <selection activeCell="F16" sqref="F16:G17"/>
    </sheetView>
  </sheetViews>
  <sheetFormatPr defaultColWidth="11" defaultRowHeight="15"/>
  <cols>
    <col min="16" max="16" width="12" customWidth="1"/>
    <col min="19" max="19" width="11.6666666666667" customWidth="1"/>
  </cols>
  <sheetData>
    <row r="1" ht="27" spans="1:20">
      <c r="A1" s="1" t="s">
        <v>180</v>
      </c>
      <c r="B1" s="2"/>
      <c r="C1" s="3" t="s">
        <v>161</v>
      </c>
      <c r="D1" s="3"/>
      <c r="E1" s="3"/>
      <c r="F1" s="3"/>
      <c r="G1" s="3"/>
      <c r="H1" s="3"/>
      <c r="I1" s="3"/>
      <c r="J1" s="3"/>
      <c r="K1" s="4" t="s">
        <v>163</v>
      </c>
      <c r="L1" s="5" t="s">
        <v>181</v>
      </c>
      <c r="M1" s="6"/>
      <c r="N1" s="7">
        <v>0</v>
      </c>
      <c r="O1" s="8"/>
      <c r="P1" s="8"/>
      <c r="Q1" s="9" t="s">
        <v>160</v>
      </c>
      <c r="R1" s="10"/>
      <c r="S1" s="11" t="s">
        <v>162</v>
      </c>
      <c r="T1" s="12"/>
    </row>
    <row r="2" spans="1:20">
      <c r="A2" s="13" t="s">
        <v>256</v>
      </c>
      <c r="B2" s="14"/>
      <c r="C2" s="15" t="s">
        <v>287</v>
      </c>
      <c r="D2" s="16"/>
      <c r="E2" s="16"/>
      <c r="F2" s="16"/>
      <c r="G2" s="16"/>
      <c r="H2" s="16"/>
      <c r="I2" s="16"/>
      <c r="J2" s="17"/>
      <c r="K2" s="18" t="s">
        <v>184</v>
      </c>
      <c r="L2" s="19"/>
      <c r="M2" s="20"/>
      <c r="N2" s="20"/>
      <c r="O2" s="21" t="s">
        <v>186</v>
      </c>
      <c r="P2" s="22"/>
      <c r="Q2" s="23">
        <f ca="1">TODAY()</f>
        <v>46286</v>
      </c>
      <c r="R2" s="24"/>
      <c r="S2" s="5" t="s">
        <v>181</v>
      </c>
      <c r="T2" s="25">
        <v>0</v>
      </c>
    </row>
    <row r="3" spans="1:20">
      <c r="A3" s="26"/>
      <c r="B3" s="27" t="s">
        <v>187</v>
      </c>
      <c r="C3" s="14"/>
      <c r="D3" s="28">
        <v>25</v>
      </c>
      <c r="E3" s="29"/>
      <c r="F3" s="30" t="s">
        <v>188</v>
      </c>
      <c r="G3" s="31" t="s">
        <v>257</v>
      </c>
      <c r="H3" s="31"/>
      <c r="I3" s="31"/>
      <c r="J3" s="29">
        <v>34</v>
      </c>
      <c r="K3" s="30" t="s">
        <v>188</v>
      </c>
      <c r="L3" s="44"/>
      <c r="M3" s="44"/>
      <c r="N3" s="44"/>
      <c r="O3" s="44"/>
      <c r="Q3" s="31" t="s">
        <v>259</v>
      </c>
      <c r="R3" s="31"/>
      <c r="S3" s="34" t="s">
        <v>106</v>
      </c>
      <c r="T3" s="35"/>
    </row>
    <row r="4" spans="1:20">
      <c r="A4" s="36" t="s">
        <v>19</v>
      </c>
      <c r="B4" s="37" t="s">
        <v>72</v>
      </c>
      <c r="C4" s="38"/>
      <c r="D4" s="39" t="s">
        <v>51</v>
      </c>
      <c r="E4" s="40"/>
      <c r="F4" s="34">
        <v>12</v>
      </c>
      <c r="G4" s="30" t="s">
        <v>192</v>
      </c>
      <c r="H4" s="41" t="s">
        <v>260</v>
      </c>
      <c r="I4" s="14"/>
      <c r="J4" s="42">
        <v>50000</v>
      </c>
      <c r="K4" s="43" t="s">
        <v>261</v>
      </c>
      <c r="L4" s="44"/>
      <c r="M4" s="44"/>
      <c r="N4" s="44"/>
      <c r="O4" s="44"/>
      <c r="P4" s="44"/>
      <c r="Q4" s="44"/>
      <c r="R4" s="31" t="s">
        <v>262</v>
      </c>
      <c r="S4" s="34" t="s">
        <v>106</v>
      </c>
      <c r="T4" s="35"/>
    </row>
    <row r="5" spans="1:20">
      <c r="A5" s="45"/>
      <c r="B5" s="37" t="s">
        <v>24</v>
      </c>
      <c r="C5" s="38"/>
      <c r="D5" s="46" t="s">
        <v>35</v>
      </c>
      <c r="E5" s="47"/>
      <c r="F5" s="34">
        <v>200</v>
      </c>
      <c r="G5" s="30" t="s">
        <v>192</v>
      </c>
      <c r="H5" s="31" t="s">
        <v>194</v>
      </c>
      <c r="I5" s="27"/>
      <c r="J5" s="48">
        <f>+J4*D3/100</f>
        <v>12500</v>
      </c>
      <c r="K5" s="30" t="s">
        <v>195</v>
      </c>
      <c r="L5" s="44"/>
      <c r="M5" s="44"/>
      <c r="N5" s="44"/>
      <c r="O5" s="44"/>
      <c r="P5" s="44"/>
      <c r="Q5" s="44"/>
      <c r="R5" s="31" t="s">
        <v>263</v>
      </c>
      <c r="S5" s="34" t="s">
        <v>106</v>
      </c>
      <c r="T5" s="35"/>
    </row>
    <row r="6" ht="15.75" spans="1:20">
      <c r="A6" s="49"/>
      <c r="B6" s="37" t="s">
        <v>90</v>
      </c>
      <c r="C6" s="38"/>
      <c r="D6" s="39" t="s">
        <v>90</v>
      </c>
      <c r="E6" s="40"/>
      <c r="F6" s="34">
        <v>0</v>
      </c>
      <c r="G6" s="30" t="s">
        <v>192</v>
      </c>
      <c r="H6" s="31" t="s">
        <v>198</v>
      </c>
      <c r="I6" s="31"/>
      <c r="J6" s="50">
        <f>(SUM(L16:L18))*(J5/1000)</f>
        <v>1707.82</v>
      </c>
      <c r="K6" s="51" t="s">
        <v>199</v>
      </c>
      <c r="L6" s="44"/>
      <c r="M6" s="44"/>
      <c r="N6" s="44"/>
      <c r="O6" s="44"/>
      <c r="P6" s="27" t="s">
        <v>264</v>
      </c>
      <c r="Q6" s="14"/>
      <c r="R6" s="52">
        <v>1</v>
      </c>
      <c r="S6" s="27" t="s">
        <v>265</v>
      </c>
      <c r="T6" s="14"/>
    </row>
    <row r="7" spans="1:20">
      <c r="A7" s="53"/>
      <c r="B7" s="27" t="s">
        <v>104</v>
      </c>
      <c r="C7" s="14"/>
      <c r="D7" s="34" t="s">
        <v>105</v>
      </c>
      <c r="E7" s="27" t="s">
        <v>204</v>
      </c>
      <c r="F7" s="34" t="s">
        <v>106</v>
      </c>
      <c r="G7" s="54" t="s">
        <v>266</v>
      </c>
      <c r="H7" s="55"/>
      <c r="I7" s="56"/>
      <c r="J7" s="52" t="s">
        <v>105</v>
      </c>
      <c r="K7" s="54" t="s">
        <v>206</v>
      </c>
      <c r="L7" s="55"/>
      <c r="M7" s="56"/>
      <c r="N7" s="52" t="s">
        <v>106</v>
      </c>
      <c r="O7" s="57">
        <f>+N8*R7</f>
        <v>50</v>
      </c>
      <c r="P7" s="27" t="s">
        <v>267</v>
      </c>
      <c r="Q7" s="14"/>
      <c r="R7" s="34">
        <v>2</v>
      </c>
      <c r="S7" s="7">
        <v>0</v>
      </c>
      <c r="T7" s="58"/>
    </row>
    <row r="8" spans="1:20">
      <c r="A8" s="53"/>
      <c r="B8" s="27" t="s">
        <v>187</v>
      </c>
      <c r="C8" s="14"/>
      <c r="D8" s="59">
        <f>(+J3*2)</f>
        <v>68</v>
      </c>
      <c r="E8" s="60"/>
      <c r="F8" s="30" t="s">
        <v>188</v>
      </c>
      <c r="G8" s="31" t="s">
        <v>209</v>
      </c>
      <c r="H8" s="31"/>
      <c r="I8" s="31"/>
      <c r="J8" s="52">
        <v>0</v>
      </c>
      <c r="K8" s="30" t="s">
        <v>188</v>
      </c>
      <c r="L8" s="27" t="s">
        <v>190</v>
      </c>
      <c r="M8" s="14"/>
      <c r="N8" s="61">
        <f>+D3</f>
        <v>25</v>
      </c>
      <c r="O8" s="33" t="s">
        <v>188</v>
      </c>
      <c r="P8" s="27" t="s">
        <v>202</v>
      </c>
      <c r="Q8" s="14"/>
      <c r="R8" s="34">
        <v>1</v>
      </c>
      <c r="S8" s="54" t="s">
        <v>203</v>
      </c>
      <c r="T8" s="62"/>
    </row>
    <row r="9" spans="1:20">
      <c r="A9" s="53"/>
      <c r="B9" s="27" t="s">
        <v>208</v>
      </c>
      <c r="C9" s="14"/>
      <c r="D9" s="46">
        <f>(+D8*R6)+S7</f>
        <v>68</v>
      </c>
      <c r="E9" s="47"/>
      <c r="F9" s="30" t="s">
        <v>188</v>
      </c>
      <c r="G9" s="31" t="s">
        <v>213</v>
      </c>
      <c r="H9" s="31"/>
      <c r="I9" s="31"/>
      <c r="J9" s="52">
        <v>0</v>
      </c>
      <c r="K9" s="30" t="s">
        <v>188</v>
      </c>
      <c r="L9" s="31" t="s">
        <v>193</v>
      </c>
      <c r="M9" s="31"/>
      <c r="N9" s="46">
        <f>IF(O7=Tabla!$L$87,Tabla!$L$87,IF(O7=Tabla!$L$88,Tabla!$L$88,IF(O7=Tabla!$L$89,Tabla!$L$89,IF(O7=Tabla!$L$90,Tabla!$L$90,IF(O7=Tabla!$L$91,Tabla!$L$91,IF(O7=Tabla!$L$92,Tabla!$L$92,IF(O7=Tabla!$L$93,Tabla!$L$93,IF(O7=Tabla!$L$94,Tabla!$L$94,IF(O7=Tabla!$L$95,Tabla!$L$95,IF(O7=Tabla!$L$96,Tabla!$L$96,IF(O7=Tabla!$L$97,Tabla!$L$97,IF(O7=Tabla!$L$98,Tabla!$L$98,IF(O7=Tabla!$L$99,Tabla!$L$99,IF(O7=Tabla!$L$100,Tabla!$L$100,IF(O7=Tabla!$L$101,Tabla!$L$101,IF(O7=Tabla!$L$102,Tabla!$L$102,IF(O7=Tabla!$L$103,Tabla!$L$103,IF(O7=Tabla!$L$104,Tabla!$L$104,IF(O7=Tabla!$L$105,Tabla!$L$105,"NO DISPBLE")))))))))))))))))))</f>
        <v>50</v>
      </c>
      <c r="O9" s="33" t="s">
        <v>188</v>
      </c>
      <c r="P9" s="27" t="s">
        <v>207</v>
      </c>
      <c r="Q9" s="14"/>
      <c r="R9" s="34">
        <v>0</v>
      </c>
      <c r="S9" s="34">
        <v>100</v>
      </c>
      <c r="T9" s="35"/>
    </row>
    <row r="10" ht="15.75" spans="1:20">
      <c r="A10" s="53"/>
      <c r="B10" s="63" t="s">
        <v>212</v>
      </c>
      <c r="C10" s="64"/>
      <c r="D10" s="65">
        <f>+D9+3</f>
        <v>71</v>
      </c>
      <c r="E10" s="65"/>
      <c r="F10" s="66" t="s">
        <v>188</v>
      </c>
      <c r="G10" s="67" t="s">
        <v>215</v>
      </c>
      <c r="H10" s="68"/>
      <c r="I10" s="68"/>
      <c r="J10" s="69">
        <v>0</v>
      </c>
      <c r="K10" s="30" t="s">
        <v>188</v>
      </c>
      <c r="L10" s="27" t="s">
        <v>268</v>
      </c>
      <c r="M10" s="14"/>
      <c r="N10" s="70">
        <v>35</v>
      </c>
      <c r="O10" s="33" t="s">
        <v>188</v>
      </c>
      <c r="P10" s="27" t="s">
        <v>211</v>
      </c>
      <c r="Q10" s="14"/>
      <c r="R10" s="34">
        <v>8</v>
      </c>
      <c r="S10" s="71">
        <f>+R10*(R8+R9)</f>
        <v>8</v>
      </c>
      <c r="T10" s="72"/>
    </row>
    <row r="11" ht="15.75" spans="1:20">
      <c r="A11" s="73"/>
      <c r="B11" s="74"/>
      <c r="C11" s="74"/>
      <c r="D11" s="74"/>
      <c r="E11" s="74"/>
      <c r="F11" s="75"/>
      <c r="G11" s="67" t="s">
        <v>269</v>
      </c>
      <c r="H11" s="68"/>
      <c r="I11" s="68"/>
      <c r="J11" s="34" t="s">
        <v>106</v>
      </c>
      <c r="K11" s="30" t="s">
        <v>210</v>
      </c>
      <c r="L11" s="52">
        <v>0</v>
      </c>
      <c r="M11" s="76"/>
      <c r="N11" s="77"/>
      <c r="O11" s="78"/>
      <c r="P11" s="79" t="s">
        <v>214</v>
      </c>
      <c r="Q11" s="67"/>
      <c r="R11" s="80">
        <v>100</v>
      </c>
      <c r="S11" s="81" t="s">
        <v>216</v>
      </c>
      <c r="T11" s="82">
        <v>1</v>
      </c>
    </row>
    <row r="12" ht="19.5" spans="1:20">
      <c r="A12" s="83"/>
      <c r="B12" s="84"/>
      <c r="C12" s="84"/>
      <c r="D12" s="84"/>
      <c r="E12" s="84"/>
      <c r="F12" s="85"/>
      <c r="G12" s="86" t="s">
        <v>270</v>
      </c>
      <c r="H12" s="86"/>
      <c r="I12" s="86"/>
      <c r="J12" s="86"/>
      <c r="K12" s="86"/>
      <c r="L12" s="86"/>
      <c r="M12" s="86"/>
      <c r="N12" s="86"/>
      <c r="O12" s="86"/>
      <c r="P12" s="87" t="s">
        <v>219</v>
      </c>
      <c r="Q12" s="88">
        <f>+R49</f>
        <v>297.688709167253</v>
      </c>
      <c r="R12" s="89"/>
      <c r="S12" s="90" t="s">
        <v>217</v>
      </c>
      <c r="T12" s="35">
        <v>900</v>
      </c>
    </row>
    <row r="13" ht="19.5" spans="1:20">
      <c r="A13" s="83"/>
      <c r="B13" s="84"/>
      <c r="C13" s="84"/>
      <c r="D13" s="84"/>
      <c r="E13" s="84"/>
      <c r="F13" s="85"/>
      <c r="G13" s="86" t="s">
        <v>220</v>
      </c>
      <c r="H13" s="86"/>
      <c r="I13" s="86"/>
      <c r="J13" s="86"/>
      <c r="K13" s="91">
        <v>45</v>
      </c>
      <c r="L13" s="86" t="s">
        <v>221</v>
      </c>
      <c r="M13" s="92"/>
      <c r="N13" s="93">
        <f>INDEX(Tabla!$B$199:$B$202,MATCH(K13,Tabla!$A$199:$A$202,0))/100</f>
        <v>0.0638297872340426</v>
      </c>
      <c r="O13" s="94"/>
      <c r="P13" s="87" t="s">
        <v>219</v>
      </c>
      <c r="Q13" s="95">
        <f>+R50</f>
        <v>316.690116135376</v>
      </c>
      <c r="R13" s="96"/>
      <c r="S13" s="97">
        <f>+((Q13*J4)/1000)/J6</f>
        <v>9.27176506117084</v>
      </c>
      <c r="T13" s="98" t="s">
        <v>251</v>
      </c>
    </row>
    <row r="14" ht="15.75" spans="1:20">
      <c r="A14" s="9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</row>
    <row r="15" ht="30.75" spans="1:20">
      <c r="A15" s="102"/>
      <c r="B15" s="103" t="s">
        <v>222</v>
      </c>
      <c r="C15" s="104"/>
      <c r="D15" s="105"/>
      <c r="E15" s="102" t="s">
        <v>223</v>
      </c>
      <c r="F15" s="106" t="s">
        <v>224</v>
      </c>
      <c r="G15" s="107"/>
      <c r="H15" s="103" t="s">
        <v>225</v>
      </c>
      <c r="I15" s="105"/>
      <c r="J15" s="108" t="s">
        <v>226</v>
      </c>
      <c r="K15" s="102" t="s">
        <v>227</v>
      </c>
      <c r="L15" s="102" t="s">
        <v>227</v>
      </c>
      <c r="M15" s="106" t="s">
        <v>228</v>
      </c>
      <c r="N15" s="108"/>
      <c r="O15" s="106" t="s">
        <v>229</v>
      </c>
      <c r="P15" s="108"/>
      <c r="Q15" s="106" t="s">
        <v>271</v>
      </c>
      <c r="R15" s="108"/>
      <c r="S15" s="106" t="s">
        <v>230</v>
      </c>
      <c r="T15" s="108"/>
    </row>
    <row r="16" ht="15.75" spans="1:20">
      <c r="A16" s="109">
        <v>1</v>
      </c>
      <c r="B16" s="110" t="str">
        <f>+D4</f>
        <v>PoliesterCristal</v>
      </c>
      <c r="C16" s="110"/>
      <c r="D16" s="110"/>
      <c r="E16" s="111">
        <f>+F4</f>
        <v>12</v>
      </c>
      <c r="F16" s="112">
        <f>(IF(B16=Tabla!$A$16,Tabla!$D$16,IF(B16=Tabla!$A$17,Tabla!$D$17,IF(B16=Tabla!$A$18,Tabla!$D$18,IF(B16=Tabla!$A$19,Tabla!$D$19,IF(B16=Tabla!$A$20,Tabla!$D$20,IF(B16=Tabla!$A$21,Tabla!$D$21,IF(B16=Tabla!$A$22,Tabla!$D$22,IF(B16=Tabla!$A$23,Tabla!$D$23,IF(B16=Tabla!$A$24,Tabla!$D$24,IF(B16=Tabla!$A$25,Tabla!$D$25,IF(B16=Tabla!$A$26,Tabla!$D$26,IF(B16=Tabla!$A$27,Tabla!$D$27,IF(B16=Tabla!$A$28,Tabla!$D$28,IF(B16=Tabla!$A$29,Tabla!$D$29,IF(B16=Tabla!$A$30,Tabla!$D$30,IF(B16=Tabla!$A$31,Tabla!$D$31,IF(B16=Tabla!$A$32,Tabla!$D$32,IF(B16=Tabla!$A$33,Tabla!$D$33)))))))))))))))))))*A16</f>
        <v>3.65</v>
      </c>
      <c r="G16" s="113"/>
      <c r="H16" s="114">
        <f>+J5+(1500*(R8+R9))</f>
        <v>14000</v>
      </c>
      <c r="I16" s="114"/>
      <c r="J16" s="115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(H16/1000)*((D10+J8)/100)*E16</f>
        <v>168.1848</v>
      </c>
      <c r="K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(D10+J8)/100)</f>
        <v>12.0132</v>
      </c>
      <c r="L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D9/100)</f>
        <v>11.5056</v>
      </c>
      <c r="M16" s="117" t="s">
        <v>210</v>
      </c>
      <c r="N16" s="118">
        <f>((J16*F16)/(J5/1000))</f>
        <v>49.1099616</v>
      </c>
      <c r="O16" s="119" t="s">
        <v>210</v>
      </c>
      <c r="P16" s="120">
        <f>N16/(SUM(L16:L18))</f>
        <v>0.359449192537855</v>
      </c>
      <c r="Q16" s="119" t="s">
        <v>210</v>
      </c>
      <c r="R16" s="121">
        <f>IF(R6&gt;1,((+N16/(100/D3))/R6),+N16/(100/D3))</f>
        <v>12.2774904</v>
      </c>
      <c r="S16" s="122">
        <f>(R16*100)/(Q12-R43-R44)</f>
        <v>6.43695180726302</v>
      </c>
      <c r="T16" s="123" t="s">
        <v>123</v>
      </c>
    </row>
    <row r="17" ht="15.75" spans="1:20">
      <c r="A17" s="109">
        <v>1</v>
      </c>
      <c r="B17" s="124" t="str">
        <f>+D5</f>
        <v>PolietilenoDpk</v>
      </c>
      <c r="C17" s="125"/>
      <c r="D17" s="30"/>
      <c r="E17" s="111">
        <f>+F5</f>
        <v>200</v>
      </c>
      <c r="F17" s="112">
        <f>(IF(B17=Tabla!$A$16,Tabla!$D$16,IF(B17=Tabla!$A$17,Tabla!$D$17,IF(B17=Tabla!$A$18,Tabla!$D$18,IF(B17=Tabla!$A$19,Tabla!$D$19,IF(B17=Tabla!$A$20,Tabla!$D$20,IF(B17=Tabla!$A$21,Tabla!$D$21,IF(B17=Tabla!$A$22,Tabla!$D$22,IF(B17=Tabla!$A$23,Tabla!$D$23,IF(B17=Tabla!$A$24,Tabla!$D$24,IF(B17=Tabla!$A$25,Tabla!$D$25,IF(B17=Tabla!$A$26,Tabla!$D$26,IF(B17=Tabla!$A$27,Tabla!$D$27,IF(B17=Tabla!$A$28,Tabla!$D$28,IF(B17=Tabla!$A$29,Tabla!$D$29,IF(B17=Tabla!$A$30,Tabla!$D$30,IF(B17=Tabla!$A$31,Tabla!$D$31,IF(B17=Tabla!$A$32,Tabla!$D$32,IF(B17=Tabla!$A$33,Tabla!$D$33)))))))))))))))))))*A17</f>
        <v>3.32356737388024</v>
      </c>
      <c r="G17" s="281"/>
      <c r="H17" s="126">
        <f>+J5+100</f>
        <v>12600</v>
      </c>
      <c r="I17" s="126"/>
      <c r="J17" s="115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(H17/1000)*((D10+J9)/100)*E17</f>
        <v>1646.064</v>
      </c>
      <c r="K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(D10+J8)/100)</f>
        <v>130.64</v>
      </c>
      <c r="L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D9/100)</f>
        <v>125.12</v>
      </c>
      <c r="M17" s="127" t="s">
        <v>210</v>
      </c>
      <c r="N17" s="128">
        <f>((J17*F17)/(J5/1000))</f>
        <v>437.664368457505</v>
      </c>
      <c r="O17" s="119" t="s">
        <v>210</v>
      </c>
      <c r="P17" s="120">
        <f>N17/(SUM(L16:L18))</f>
        <v>3.20338478628826</v>
      </c>
      <c r="Q17" s="119" t="s">
        <v>210</v>
      </c>
      <c r="R17" s="121">
        <f>IF(R6&gt;1,((+N17/(100/D3))/R6),+N17/(100/D3))</f>
        <v>109.416092114376</v>
      </c>
      <c r="S17" s="122">
        <f>(R17*100)/(Q12-R43-R44)</f>
        <v>57.3656414245122</v>
      </c>
      <c r="T17" s="123" t="s">
        <v>123</v>
      </c>
    </row>
    <row r="18" ht="15.75" spans="1:20">
      <c r="A18" s="109">
        <v>1</v>
      </c>
      <c r="B18" s="110" t="str">
        <f>+D6</f>
        <v>Otro</v>
      </c>
      <c r="C18" s="110"/>
      <c r="D18" s="110"/>
      <c r="E18" s="111">
        <f>+F6</f>
        <v>0</v>
      </c>
      <c r="F18" s="112">
        <f>(IF(B18=Tabla!$A$16,Tabla!$D$16,IF(B18=Tabla!$A$17,Tabla!$D$17,IF(B18=Tabla!$A$18,Tabla!$D$18,IF(B18=Tabla!$A$19,Tabla!$D$19,IF(B18=Tabla!$A$20,Tabla!$D$20,IF(B18=Tabla!$A$21,Tabla!$D$21,IF(B18=Tabla!$A$22,Tabla!$D$22,IF(B18=Tabla!$A$23,Tabla!$D$23,IF(B18=Tabla!$A$24,Tabla!$D$24,IF(B18=Tabla!$A$25,Tabla!$D$25,IF(B18=Tabla!$A$26,Tabla!$D$26,IF(B18=Tabla!$A$27,Tabla!$D$27,IF(B18=Tabla!$A$28,Tabla!$D$28,IF(B18=Tabla!$A$29,Tabla!$D$29,IF(B18=Tabla!$A$30,Tabla!$D$30,IF(B18=Tabla!$A$31,Tabla!$D$31,IF(B18=Tabla!$A$32,Tabla!$D$32,IF(B18=Tabla!$A$33,Tabla!$D$33)))))))))))))))))))*A18</f>
        <v>0</v>
      </c>
      <c r="G18" s="113"/>
      <c r="H18" s="126">
        <f>+J5+100</f>
        <v>12600</v>
      </c>
      <c r="I18" s="126"/>
      <c r="J18" s="115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(H18/1000)*((D10+J10)/100)*E18</f>
        <v>0</v>
      </c>
      <c r="K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(D10+J8)/100)</f>
        <v>0</v>
      </c>
      <c r="L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D9/100)</f>
        <v>0</v>
      </c>
      <c r="M18" s="127" t="s">
        <v>210</v>
      </c>
      <c r="N18" s="128">
        <f>((J18*F18)/(J5/1000))</f>
        <v>0</v>
      </c>
      <c r="O18" s="119" t="s">
        <v>210</v>
      </c>
      <c r="P18" s="120">
        <f>N18/(SUM(L16:L18))</f>
        <v>0</v>
      </c>
      <c r="Q18" s="119" t="s">
        <v>210</v>
      </c>
      <c r="R18" s="121">
        <f>IF(R6&gt;1,((+N18/(100/D3))/R6),+N18/(100/D3))</f>
        <v>0</v>
      </c>
      <c r="S18" s="122">
        <f>(R18*100)/(Q12-R43-R44)</f>
        <v>0</v>
      </c>
      <c r="T18" s="123" t="s">
        <v>123</v>
      </c>
    </row>
    <row r="19" spans="1:20">
      <c r="A19" s="129">
        <f>IF(D7="SI",1,0)</f>
        <v>1</v>
      </c>
      <c r="B19" s="130" t="s">
        <v>231</v>
      </c>
      <c r="C19" s="131"/>
      <c r="D19" s="132"/>
      <c r="E19" s="133" t="s">
        <v>232</v>
      </c>
      <c r="F19" s="133" t="s">
        <v>233</v>
      </c>
      <c r="G19" s="133" t="s">
        <v>232</v>
      </c>
      <c r="H19" s="134" t="s">
        <v>272</v>
      </c>
      <c r="I19" s="135"/>
      <c r="J19" s="133" t="s">
        <v>234</v>
      </c>
      <c r="K19" s="133"/>
      <c r="L19" s="136"/>
      <c r="M19" s="137"/>
      <c r="N19" s="138"/>
      <c r="O19" s="139"/>
      <c r="P19" s="140"/>
      <c r="Q19" s="139"/>
      <c r="R19" s="141"/>
      <c r="S19" s="122"/>
      <c r="T19" s="123"/>
    </row>
    <row r="20" spans="1:20">
      <c r="A20" s="129">
        <f>IF(F7="SI",1,0)</f>
        <v>0</v>
      </c>
      <c r="B20" s="130" t="s">
        <v>235</v>
      </c>
      <c r="C20" s="131"/>
      <c r="D20" s="132"/>
      <c r="E20" s="142">
        <f>(Tabla!$D$5*R8+1*R9)*A19</f>
        <v>1.5</v>
      </c>
      <c r="F20" s="143">
        <f>(+J5/20000)*A19</f>
        <v>0.625</v>
      </c>
      <c r="G20" s="142">
        <f>(Tabla!$D$5/3)*A20</f>
        <v>0</v>
      </c>
      <c r="H20" s="46">
        <f>(J5/20000)*A20</f>
        <v>0</v>
      </c>
      <c r="I20" s="47"/>
      <c r="J20" s="144" t="s">
        <v>210</v>
      </c>
      <c r="K20" s="145">
        <f>+Tabla!$B$5</f>
        <v>58.46</v>
      </c>
      <c r="L20" s="146"/>
      <c r="M20" s="127" t="s">
        <v>210</v>
      </c>
      <c r="N20" s="128">
        <f>((E20+F20+G20+H20)*K20)/(J5/1000)*A19</f>
        <v>9.9382</v>
      </c>
      <c r="O20" s="119" t="s">
        <v>210</v>
      </c>
      <c r="P20" s="120">
        <f>N20/(SUM(L16:L18))</f>
        <v>0.072740394186741</v>
      </c>
      <c r="Q20" s="119" t="s">
        <v>210</v>
      </c>
      <c r="R20" s="121">
        <f>IF(R6&gt;1,((+N20/(100/D3))/R6),+N20/(100/D3))</f>
        <v>2.48455</v>
      </c>
      <c r="S20" s="122">
        <f>(R20*100)/(Q12-R43-R44)</f>
        <v>1.3026219603263</v>
      </c>
      <c r="T20" s="123" t="s">
        <v>123</v>
      </c>
    </row>
    <row r="21" spans="1:20">
      <c r="A21" s="129">
        <f>IF(D7="SI",1,0)</f>
        <v>1</v>
      </c>
      <c r="B21" s="147" t="s">
        <v>32</v>
      </c>
      <c r="C21" s="148"/>
      <c r="D21" s="149"/>
      <c r="E21" s="44"/>
      <c r="F21" s="44"/>
      <c r="G21" s="44"/>
      <c r="H21" s="44"/>
      <c r="I21" s="150">
        <f>(+L21/S10)*A20</f>
        <v>0</v>
      </c>
      <c r="J21" s="151" t="s">
        <v>236</v>
      </c>
      <c r="K21" s="152"/>
      <c r="L21" s="150">
        <f>(IF(B21=Tabla!$A$79,((Tabla!$B$79/2300/46)*(D10+J8)*N9),1)*0.75)</f>
        <v>10.0409971644612</v>
      </c>
      <c r="M21" s="127"/>
      <c r="N21" s="128"/>
      <c r="O21" s="119" t="s">
        <v>210</v>
      </c>
      <c r="P21" s="120">
        <f>((I21+L21*S10)/J6)*A21</f>
        <v>0.0470353885747268</v>
      </c>
      <c r="Q21" s="119" t="s">
        <v>210</v>
      </c>
      <c r="R21" s="153">
        <f>IF(R6&gt;1,((((I21+L21*R10)/(J4/1000)*A21))/R6),((I21+L21*R10)/(J4/1000)*A21))</f>
        <v>1.6065595463138</v>
      </c>
      <c r="S21" s="122">
        <f>(R21*100)/(Q12-R43-R44)</f>
        <v>0.842301320400159</v>
      </c>
      <c r="T21" s="123" t="s">
        <v>123</v>
      </c>
    </row>
    <row r="22" spans="1:20">
      <c r="A22" s="129">
        <f>IF(D7="SI",1,0)</f>
        <v>1</v>
      </c>
      <c r="B22" s="147" t="s">
        <v>237</v>
      </c>
      <c r="C22" s="148"/>
      <c r="D22" s="149"/>
      <c r="E22" s="44"/>
      <c r="F22" s="44"/>
      <c r="G22" s="44"/>
      <c r="H22" s="44"/>
      <c r="I22" s="150">
        <f>(((Tabla!$B$90*0.8)+(Tabla!$B$93*0.2))/1000*2)*A20</f>
        <v>0</v>
      </c>
      <c r="J22" s="151" t="s">
        <v>238</v>
      </c>
      <c r="K22" s="152"/>
      <c r="L22" s="150">
        <f>(((((Tabla!$J$116-Tabla!$E$116)/1000*2)+((Tabla!$E$116/1000*2)*S9)/100)*R11)/100)+I22</f>
        <v>0.0307111232064</v>
      </c>
      <c r="M22" s="127" t="s">
        <v>210</v>
      </c>
      <c r="N22" s="128">
        <f>(L22*((D10+J8)*10)*A22)*(R10/8)</f>
        <v>21.804897476544</v>
      </c>
      <c r="O22" s="119" t="s">
        <v>210</v>
      </c>
      <c r="P22" s="120">
        <f>N22/(SUM(L16:L18))</f>
        <v>0.159595986963966</v>
      </c>
      <c r="Q22" s="119" t="s">
        <v>210</v>
      </c>
      <c r="R22" s="121">
        <f>IF(R6&gt;1,((+N22/(100/D3))/R6),+N22/(100/D3))</f>
        <v>5.451224369136</v>
      </c>
      <c r="S22" s="122">
        <f>(R22*100)/(Q12-R43-R44)</f>
        <v>2.8580163707321</v>
      </c>
      <c r="T22" s="123" t="s">
        <v>123</v>
      </c>
    </row>
    <row r="23" spans="1:20">
      <c r="A23" s="129">
        <f>IF(D7="SI",1,0)</f>
        <v>1</v>
      </c>
      <c r="B23" s="147" t="s">
        <v>239</v>
      </c>
      <c r="C23" s="148"/>
      <c r="D23" s="149"/>
      <c r="E23" s="71">
        <f>IF(J5&gt;240000,120,IF(J5&gt;210000,96,IF(J5&gt;180000,72,IF(J5&gt;150000,64,IF(J5&gt;120000,48,IF(J5&gt;60000,24,IF(J5&gt;30000,16,12)))))))</f>
        <v>12</v>
      </c>
      <c r="G23" s="44"/>
      <c r="H23" s="44"/>
      <c r="I23" s="154"/>
      <c r="J23" s="151" t="s">
        <v>240</v>
      </c>
      <c r="K23" s="152"/>
      <c r="L23" s="150">
        <f>+Tabla!$B$99</f>
        <v>1.25</v>
      </c>
      <c r="M23" s="127" t="s">
        <v>210</v>
      </c>
      <c r="N23" s="155">
        <f>(+L23*E23/J5*1000)*A23</f>
        <v>1.2</v>
      </c>
      <c r="O23" s="119" t="s">
        <v>210</v>
      </c>
      <c r="P23" s="120">
        <f>N23/(SUM(L16:L18))</f>
        <v>0.00878312702743849</v>
      </c>
      <c r="Q23" s="119" t="s">
        <v>210</v>
      </c>
      <c r="R23" s="121">
        <f>IF(R6&gt;1,((+N23/(100/D3))/R6),+N23/(100/D3))</f>
        <v>0.3</v>
      </c>
      <c r="S23" s="122">
        <f>(R23*100)/(Q12-R43-R44)</f>
        <v>0.157286666840229</v>
      </c>
      <c r="T23" s="123" t="s">
        <v>123</v>
      </c>
    </row>
    <row r="24" spans="1:20">
      <c r="A24" s="129">
        <f>IF(J7="SI",1,IF(J7="BI",2,0))</f>
        <v>1</v>
      </c>
      <c r="B24" s="156" t="s">
        <v>241</v>
      </c>
      <c r="C24" s="157"/>
      <c r="D24" s="66"/>
      <c r="E24" s="71">
        <f>+Tabla!$D$6*(A24+A26)</f>
        <v>0.5</v>
      </c>
      <c r="F24" s="158">
        <f>+J5/Tabla!$C$6*(A25+A26)</f>
        <v>0.78125</v>
      </c>
      <c r="G24" s="44"/>
      <c r="H24" s="44"/>
      <c r="I24" s="154"/>
      <c r="J24" s="159" t="s">
        <v>210</v>
      </c>
      <c r="K24" s="160">
        <f>+Tabla!$B$6</f>
        <v>41.35</v>
      </c>
      <c r="L24" s="154"/>
      <c r="M24" s="127" t="s">
        <v>210</v>
      </c>
      <c r="N24" s="128">
        <f>((E24+F24)*K24)/(J5/1000)</f>
        <v>4.238375</v>
      </c>
      <c r="O24" s="119" t="s">
        <v>210</v>
      </c>
      <c r="P24" s="120">
        <f>N24/(SUM(L16:L18))</f>
        <v>0.0310218216790997</v>
      </c>
      <c r="Q24" s="119" t="s">
        <v>210</v>
      </c>
      <c r="R24" s="121">
        <f>IF(R6&gt;1,((+N24/(100/D3))/R6),+N24/(100/D3))</f>
        <v>1.05959375</v>
      </c>
      <c r="S24" s="122">
        <f>(R24*100)/(Q12-R43-R44)</f>
        <v>0.555533230474129</v>
      </c>
      <c r="T24" s="123" t="s">
        <v>123</v>
      </c>
    </row>
    <row r="25" spans="1:20">
      <c r="A25" s="129">
        <f>IF(J7="SI",1,IF(J7="BI",2,0))</f>
        <v>1</v>
      </c>
      <c r="B25" s="161" t="s">
        <v>242</v>
      </c>
      <c r="C25" s="162"/>
      <c r="D25" s="163"/>
      <c r="E25" s="44"/>
      <c r="F25" s="44"/>
      <c r="G25" s="44"/>
      <c r="H25" s="44"/>
      <c r="I25" s="154"/>
      <c r="J25" s="151" t="s">
        <v>238</v>
      </c>
      <c r="K25" s="152"/>
      <c r="L25" s="150">
        <f>IF(J7="SI",+(((Tabla!$B$123/1000*Tabla!$C$123)+(Tabla!$B$124/1000*Tabla!C350))*Tabla!$B$122)*A25,IF(J7="BI",+(((Tabla!$B$123/1000*Tabla!$C$123)+(Tabla!$B$124/1000*Tabla!C350))*Tabla!$B$122)*A25,0))</f>
        <v>0.012474</v>
      </c>
      <c r="M25" s="127" t="s">
        <v>210</v>
      </c>
      <c r="N25" s="128">
        <f>L25*((D10+J9+J10)*10)</f>
        <v>8.85654</v>
      </c>
      <c r="O25" s="119" t="s">
        <v>210</v>
      </c>
      <c r="P25" s="120">
        <f>N25/(SUM(L16:L18))</f>
        <v>0.0648234298696584</v>
      </c>
      <c r="Q25" s="119" t="s">
        <v>210</v>
      </c>
      <c r="R25" s="121">
        <f>IF(R6&gt;1,((+N25/(100/D3))/R6),+N25/(100/D3))</f>
        <v>2.214135</v>
      </c>
      <c r="S25" s="122">
        <f>(R25*100)/(Q12-R43-R44)</f>
        <v>1.16084638028097</v>
      </c>
      <c r="T25" s="123" t="s">
        <v>123</v>
      </c>
    </row>
    <row r="26" spans="1:20">
      <c r="A26" s="129">
        <f>IF(N7="SI",1,IF(N7="BI",2,0))</f>
        <v>0</v>
      </c>
      <c r="B26" s="161" t="s">
        <v>243</v>
      </c>
      <c r="C26" s="162"/>
      <c r="D26" s="163"/>
      <c r="E26" s="44"/>
      <c r="F26" s="44"/>
      <c r="G26" s="44"/>
      <c r="H26" s="44"/>
      <c r="I26" s="154"/>
      <c r="J26" s="151" t="s">
        <v>238</v>
      </c>
      <c r="K26" s="152"/>
      <c r="L26" s="150">
        <f>IF(N7="SI",+((Tabla!$B$127/1000)*Tabla!$B$126)*A26,IF(N7="BI",+((Tabla!$B$127/1000)*Tabla!$B$126)*A26,0))</f>
        <v>0</v>
      </c>
      <c r="M26" s="127" t="s">
        <v>210</v>
      </c>
      <c r="N26" s="128">
        <f>L26*(D10*10)</f>
        <v>0</v>
      </c>
      <c r="O26" s="119" t="s">
        <v>210</v>
      </c>
      <c r="P26" s="120">
        <f>N26/(SUM(L16:L18))</f>
        <v>0</v>
      </c>
      <c r="Q26" s="119" t="s">
        <v>210</v>
      </c>
      <c r="R26" s="121">
        <f>IF(R6&gt;1,((+N26/(100/D3))/R6),+N26/(100/D3))</f>
        <v>0</v>
      </c>
      <c r="S26" s="122">
        <f>(R26*100)/(Q12-R43-R44)</f>
        <v>0</v>
      </c>
      <c r="T26" s="123" t="s">
        <v>123</v>
      </c>
    </row>
    <row r="27" spans="1:20">
      <c r="A27" s="164"/>
      <c r="B27" s="165" t="s">
        <v>244</v>
      </c>
      <c r="C27" s="166"/>
      <c r="D27" s="167"/>
      <c r="E27" s="71">
        <f>+Tabla!$D$7</f>
        <v>0</v>
      </c>
      <c r="F27" s="158">
        <f>+J5/Tabla!$C$7</f>
        <v>1.5625</v>
      </c>
      <c r="G27" s="44"/>
      <c r="H27" s="44"/>
      <c r="I27" s="154"/>
      <c r="J27" s="159" t="s">
        <v>210</v>
      </c>
      <c r="K27" s="160">
        <f>+Tabla!$B$7</f>
        <v>39.54</v>
      </c>
      <c r="L27" s="168"/>
      <c r="M27" s="127" t="s">
        <v>210</v>
      </c>
      <c r="N27" s="128">
        <f>((E27+F27)*K27)/(J5/1000)</f>
        <v>4.9425</v>
      </c>
      <c r="O27" s="119" t="s">
        <v>210</v>
      </c>
      <c r="P27" s="120">
        <f>N27/(SUM(L16:L18))</f>
        <v>0.0361755044442623</v>
      </c>
      <c r="Q27" s="119" t="s">
        <v>210</v>
      </c>
      <c r="R27" s="121">
        <f>IF(R6&gt;1,((+N27/(100/D3))/R6),+N27/(100/D3))</f>
        <v>1.235625</v>
      </c>
      <c r="S27" s="122">
        <f>(R27*100)/(Q12-R43-R44)</f>
        <v>0.647824459048192</v>
      </c>
      <c r="T27" s="123" t="s">
        <v>123</v>
      </c>
    </row>
    <row r="28" spans="1:20">
      <c r="A28" s="169">
        <f>+Tabla!$E$7</f>
        <v>0.05</v>
      </c>
      <c r="B28" s="170" t="s">
        <v>245</v>
      </c>
      <c r="C28" s="171"/>
      <c r="D28" s="172"/>
      <c r="E28" s="44"/>
      <c r="F28" s="44"/>
      <c r="G28" s="44"/>
      <c r="H28" s="44"/>
      <c r="I28" s="154"/>
      <c r="J28" s="44"/>
      <c r="K28" s="44"/>
      <c r="L28" s="44"/>
      <c r="M28" s="119" t="s">
        <v>210</v>
      </c>
      <c r="N28" s="173">
        <f>((SUM(P16:P27))*A28)</f>
        <v>0.1991504815786</v>
      </c>
      <c r="O28" s="119" t="s">
        <v>210</v>
      </c>
      <c r="P28" s="173">
        <f>((SUM(P16:P27))*A28)</f>
        <v>0.1991504815786</v>
      </c>
      <c r="Q28" s="119" t="s">
        <v>210</v>
      </c>
      <c r="R28" s="121">
        <f>+N28/(100/D3)</f>
        <v>0.0497876203946501</v>
      </c>
      <c r="S28" s="122">
        <f>(R28*100)/(Q12-R43-R44)</f>
        <v>0.026103096205937</v>
      </c>
      <c r="T28" s="123" t="s">
        <v>123</v>
      </c>
    </row>
    <row r="29" spans="1:20">
      <c r="A29" s="164"/>
      <c r="B29" s="174" t="s">
        <v>273</v>
      </c>
      <c r="C29" s="175"/>
      <c r="D29" s="176"/>
      <c r="E29" s="44"/>
      <c r="F29" s="44"/>
      <c r="G29" s="44"/>
      <c r="H29" s="44"/>
      <c r="I29" s="154"/>
      <c r="J29" s="154"/>
      <c r="K29" s="44"/>
      <c r="L29" s="44"/>
      <c r="M29" s="44"/>
      <c r="O29" s="177" t="s">
        <v>210</v>
      </c>
      <c r="P29" s="178">
        <f>SUM(P16:P28)</f>
        <v>4.18216011315061</v>
      </c>
      <c r="Q29" s="44"/>
      <c r="R29" s="154"/>
      <c r="S29" s="44"/>
      <c r="T29" s="179"/>
    </row>
    <row r="30" spans="1:20">
      <c r="A30" s="180">
        <f>IF(D3&gt;=38,Tabla!$E$155,IF(D3&gt;=25,Tabla!$E$150,IF(D3&gt;=18,Tabla!$E$147,IF(D3&gt;=15,Tabla!$E$144,Tabla!$E$139))))-(A31*Tabla!$G$139)</f>
        <v>40</v>
      </c>
      <c r="B30" s="130" t="s">
        <v>274</v>
      </c>
      <c r="C30" s="131"/>
      <c r="D30" s="132"/>
      <c r="E30" s="47">
        <v>1</v>
      </c>
      <c r="F30" s="158">
        <f>+J4/+(A30*60)</f>
        <v>20.8333333333333</v>
      </c>
      <c r="G30" s="44"/>
      <c r="H30" s="44"/>
      <c r="I30" s="154"/>
      <c r="J30" s="159" t="s">
        <v>210</v>
      </c>
      <c r="K30" s="160">
        <f>+Tabla!$B$8</f>
        <v>60.01</v>
      </c>
      <c r="L30" s="150">
        <f>+(((+E30+F30)*K30)/J4)*1000</f>
        <v>26.2043666666667</v>
      </c>
      <c r="M30" s="127" t="s">
        <v>210</v>
      </c>
      <c r="N30" s="128">
        <f>((E30+F30)*K30)/(J5/1000)</f>
        <v>104.817466666667</v>
      </c>
      <c r="O30" s="119" t="s">
        <v>210</v>
      </c>
      <c r="P30" s="120">
        <f>N30/(SUM(L16:L18))</f>
        <v>0.767187603689694</v>
      </c>
      <c r="Q30" s="139" t="s">
        <v>210</v>
      </c>
      <c r="R30" s="181">
        <f>+N30/(100/D3)</f>
        <v>26.2043666666667</v>
      </c>
      <c r="S30" s="122">
        <f>(R30*100)/(Q12-R43-R44)</f>
        <v>13.738658298864</v>
      </c>
      <c r="T30" s="123" t="s">
        <v>123</v>
      </c>
    </row>
    <row r="31" spans="1:20">
      <c r="A31" s="129">
        <f>IF(S3="SI",1,0)</f>
        <v>0</v>
      </c>
      <c r="B31" s="170" t="s">
        <v>140</v>
      </c>
      <c r="C31" s="171"/>
      <c r="D31" s="172"/>
      <c r="E31" s="71" t="s">
        <v>5</v>
      </c>
      <c r="F31" s="126">
        <f>+Tabla!$F$8</f>
        <v>100</v>
      </c>
      <c r="G31" s="44"/>
      <c r="H31" s="44"/>
      <c r="I31" s="154"/>
      <c r="J31" s="44"/>
      <c r="K31" s="154"/>
      <c r="L31" s="154"/>
      <c r="M31" s="127" t="s">
        <v>210</v>
      </c>
      <c r="N31" s="128">
        <f>+Tabla!$B$132*(1000+F31)*A31</f>
        <v>0</v>
      </c>
      <c r="O31" s="119" t="s">
        <v>210</v>
      </c>
      <c r="P31" s="120">
        <f>N31/(SUM(L16:L18))</f>
        <v>0</v>
      </c>
      <c r="Q31" s="119" t="s">
        <v>210</v>
      </c>
      <c r="R31" s="181">
        <f>+N31/(100/D3)</f>
        <v>0</v>
      </c>
      <c r="S31" s="122">
        <f>(R31*100)/(Q12-R43-R44)</f>
        <v>0</v>
      </c>
      <c r="T31" s="123" t="s">
        <v>123</v>
      </c>
    </row>
    <row r="32" spans="1:20">
      <c r="A32" s="129">
        <f>IF(S4="SI",1,0)</f>
        <v>0</v>
      </c>
      <c r="B32" s="170" t="s">
        <v>10</v>
      </c>
      <c r="C32" s="171"/>
      <c r="D32" s="172"/>
      <c r="E32" s="71" t="s">
        <v>5</v>
      </c>
      <c r="F32" s="126">
        <f>+Tabla!$F$8</f>
        <v>100</v>
      </c>
      <c r="G32" s="44"/>
      <c r="H32" s="44"/>
      <c r="I32" s="154"/>
      <c r="J32" s="44"/>
      <c r="K32" s="154"/>
      <c r="L32" s="154"/>
      <c r="M32" s="127" t="s">
        <v>210</v>
      </c>
      <c r="N32" s="128">
        <f>+Tabla!$E$132*(1000+F32)*A32</f>
        <v>0</v>
      </c>
      <c r="O32" s="119" t="s">
        <v>210</v>
      </c>
      <c r="P32" s="120">
        <f>N32/(SUM(L16:L18))</f>
        <v>0</v>
      </c>
      <c r="Q32" s="119" t="s">
        <v>210</v>
      </c>
      <c r="R32" s="182">
        <f>+Tabla!$E$132*(1000+F32)*A32</f>
        <v>0</v>
      </c>
      <c r="S32" s="122">
        <f>(R32*100)/(Q12-R43-R44)</f>
        <v>0</v>
      </c>
      <c r="T32" s="123" t="s">
        <v>123</v>
      </c>
    </row>
    <row r="33" spans="1:20">
      <c r="A33" s="169">
        <f>+Tabla!$E$8</f>
        <v>0.15</v>
      </c>
      <c r="B33" s="170" t="s">
        <v>275</v>
      </c>
      <c r="C33" s="171"/>
      <c r="D33" s="172"/>
      <c r="E33" s="44"/>
      <c r="F33" s="44"/>
      <c r="G33" s="44"/>
      <c r="H33" s="44"/>
      <c r="I33" s="154"/>
      <c r="J33" s="44"/>
      <c r="K33" s="154"/>
      <c r="L33" s="154"/>
      <c r="M33" s="127" t="s">
        <v>210</v>
      </c>
      <c r="N33" s="128">
        <f>+(P29*A33)/(100000/D3)*1000</f>
        <v>0.156831004243148</v>
      </c>
      <c r="O33" s="119" t="s">
        <v>210</v>
      </c>
      <c r="P33" s="120">
        <f>N33/(SUM(L16:L18))</f>
        <v>0.00114788886009026</v>
      </c>
      <c r="Q33" s="119" t="s">
        <v>210</v>
      </c>
      <c r="R33" s="121">
        <f>SUM(R16:R31)*A33</f>
        <v>24.3449136700331</v>
      </c>
      <c r="S33" s="122">
        <f>(R33*100)/(Q12-R43-R44)</f>
        <v>12.7637677522421</v>
      </c>
      <c r="T33" s="123" t="s">
        <v>123</v>
      </c>
    </row>
    <row r="34" spans="1:20">
      <c r="A34" s="180">
        <f>+Tabla!$C$10</f>
        <v>20</v>
      </c>
      <c r="B34" s="130" t="s">
        <v>276</v>
      </c>
      <c r="C34" s="131"/>
      <c r="D34" s="132"/>
      <c r="E34" s="47">
        <f>+Tabla!$D$10</f>
        <v>0.5</v>
      </c>
      <c r="F34" s="158">
        <f>+J4/+(A34*60)</f>
        <v>41.6666666666667</v>
      </c>
      <c r="G34" s="44"/>
      <c r="H34" s="44"/>
      <c r="I34" s="154"/>
      <c r="J34" s="159" t="s">
        <v>210</v>
      </c>
      <c r="K34" s="160">
        <f>+Tabla!$B$10</f>
        <v>20.0033333333333</v>
      </c>
      <c r="L34" s="150">
        <f>+(((+E34+F34)*K34)/J4)*1000</f>
        <v>16.8694777777778</v>
      </c>
      <c r="M34" s="127" t="s">
        <v>210</v>
      </c>
      <c r="N34" s="128">
        <f>((E34+F34)*K34)/(J5/1000)</f>
        <v>67.4779111111111</v>
      </c>
      <c r="O34" s="183" t="s">
        <v>210</v>
      </c>
      <c r="P34" s="184">
        <f>N34/(SUM(L16:L18))</f>
        <v>0.49388922069591</v>
      </c>
      <c r="Q34" s="139" t="s">
        <v>210</v>
      </c>
      <c r="R34" s="181">
        <f>+N34/(100/D3)*A35</f>
        <v>0</v>
      </c>
      <c r="S34" s="122">
        <f>(R34*100)/(Q12-R43-R44)</f>
        <v>0</v>
      </c>
      <c r="T34" s="123" t="s">
        <v>123</v>
      </c>
    </row>
    <row r="35" spans="1:20">
      <c r="A35" s="129">
        <f>IF(S5="SI",1,0)</f>
        <v>0</v>
      </c>
      <c r="B35" s="170" t="s">
        <v>277</v>
      </c>
      <c r="C35" s="171"/>
      <c r="D35" s="172"/>
      <c r="E35" s="71" t="s">
        <v>5</v>
      </c>
      <c r="F35" s="126">
        <f>+Tabla!$F$10</f>
        <v>100</v>
      </c>
      <c r="G35" s="44"/>
      <c r="H35" s="44"/>
      <c r="I35" s="154"/>
      <c r="J35" s="44"/>
      <c r="K35" s="154"/>
      <c r="L35" s="154"/>
      <c r="M35" s="127" t="s">
        <v>210</v>
      </c>
      <c r="N35" s="128">
        <f>+Tabla!$E$133*(1000+F35)*A35</f>
        <v>0</v>
      </c>
      <c r="O35" s="183" t="s">
        <v>210</v>
      </c>
      <c r="P35" s="184">
        <f>N35/(SUM(L16:L18))</f>
        <v>0</v>
      </c>
      <c r="Q35" s="119" t="s">
        <v>210</v>
      </c>
      <c r="R35" s="182">
        <f>+Tabla!$E$133*(1000+F35)*A35</f>
        <v>0</v>
      </c>
      <c r="S35" s="122">
        <f>(R35*100)/(Q12-R43-R44)</f>
        <v>0</v>
      </c>
      <c r="T35" s="123" t="s">
        <v>123</v>
      </c>
    </row>
    <row r="36" spans="1:20">
      <c r="A36" s="169">
        <f>+Tabla!$E$10</f>
        <v>0.05</v>
      </c>
      <c r="B36" s="170" t="s">
        <v>278</v>
      </c>
      <c r="C36" s="171"/>
      <c r="D36" s="172"/>
      <c r="E36" s="44"/>
      <c r="F36" s="44"/>
      <c r="G36" s="44"/>
      <c r="H36" s="44"/>
      <c r="I36" s="154"/>
      <c r="J36" s="44"/>
      <c r="K36" s="154"/>
      <c r="L36" s="154"/>
      <c r="M36" s="127" t="s">
        <v>210</v>
      </c>
      <c r="N36" s="128">
        <f>+(P29*A36)/(100000/D3)*1000</f>
        <v>0.0522770014143826</v>
      </c>
      <c r="O36" s="183" t="s">
        <v>210</v>
      </c>
      <c r="P36" s="184">
        <f>N36/(SUM(L16:L18))</f>
        <v>0.000382629620030086</v>
      </c>
      <c r="Q36" s="119" t="s">
        <v>210</v>
      </c>
      <c r="R36" s="121">
        <f>SUM(R16:R35)*A36*A35</f>
        <v>0</v>
      </c>
      <c r="S36" s="122">
        <f>(R36*100)/(Q12-R43-R44)</f>
        <v>0</v>
      </c>
      <c r="T36" s="123" t="s">
        <v>123</v>
      </c>
    </row>
    <row r="37" spans="1:20">
      <c r="A37" s="180">
        <f>IF(D3&gt;22.1,400,IF(D3&gt;=15,1000,IF(D3&gt;=12,1500,2000)))</f>
        <v>400</v>
      </c>
      <c r="B37" s="170" t="s">
        <v>279</v>
      </c>
      <c r="C37" s="171"/>
      <c r="D37" s="185"/>
      <c r="E37" s="44"/>
      <c r="F37" s="44"/>
      <c r="G37" s="44"/>
      <c r="H37" s="44"/>
      <c r="I37" s="154"/>
      <c r="J37" s="44"/>
      <c r="K37" s="154"/>
      <c r="L37" s="154"/>
      <c r="M37" s="127" t="s">
        <v>210</v>
      </c>
      <c r="N37" s="128">
        <f>+Tabla!$B$133/A37*1000</f>
        <v>0.941105610561056</v>
      </c>
      <c r="O37" s="183" t="s">
        <v>210</v>
      </c>
      <c r="P37" s="184">
        <f>N37/(SUM(L16:L18))</f>
        <v>0.00688820843649401</v>
      </c>
      <c r="Q37" s="119" t="s">
        <v>210</v>
      </c>
      <c r="R37" s="121">
        <f>1000/A37*N37</f>
        <v>2.35276402640264</v>
      </c>
      <c r="S37" s="122">
        <f>(R37*100)/(Q12-R43-R44)</f>
        <v>1.23352803858156</v>
      </c>
      <c r="T37" s="123" t="s">
        <v>123</v>
      </c>
    </row>
    <row r="38" spans="1:20">
      <c r="A38" s="129">
        <f>+T11</f>
        <v>1</v>
      </c>
      <c r="B38" s="124" t="s">
        <v>216</v>
      </c>
      <c r="C38" s="30"/>
      <c r="D38" s="46" t="str">
        <f>+S12</f>
        <v>Caba</v>
      </c>
      <c r="E38" s="186">
        <f>+T12</f>
        <v>900</v>
      </c>
      <c r="F38" s="158">
        <f>INDEX(Tabla!$B$162:$E$187,MATCH(S12,Tabla!$A$162:$A$187,0),MATCH(T12,Tabla!$B$161:$E$161,0))*A38</f>
        <v>57.1821782178218</v>
      </c>
      <c r="G38" s="44"/>
      <c r="H38" s="44"/>
      <c r="I38" s="44"/>
      <c r="J38" s="154"/>
      <c r="K38" s="154"/>
      <c r="L38" s="154"/>
      <c r="M38" s="44"/>
      <c r="N38" s="44"/>
      <c r="O38" s="139" t="s">
        <v>210</v>
      </c>
      <c r="P38" s="187">
        <f>F38/(SUM(J6))</f>
        <v>0.0334825556661837</v>
      </c>
      <c r="Q38" s="119" t="s">
        <v>210</v>
      </c>
      <c r="R38" s="121">
        <f>+J6*P38/J4*1000</f>
        <v>1.14364356435644</v>
      </c>
      <c r="S38" s="122">
        <f>(R38*100)/(Q12-R43-R44)</f>
        <v>0.599599614303008</v>
      </c>
      <c r="T38" s="123" t="s">
        <v>123</v>
      </c>
    </row>
    <row r="39" spans="1:20">
      <c r="A39" s="129">
        <f>IF(J11="SI",1,0)</f>
        <v>0</v>
      </c>
      <c r="B39" s="156" t="s">
        <v>269</v>
      </c>
      <c r="C39" s="157"/>
      <c r="D39" s="66"/>
      <c r="E39" s="44"/>
      <c r="F39" s="44"/>
      <c r="G39" s="44"/>
      <c r="H39" s="44"/>
      <c r="I39" s="154"/>
      <c r="J39" s="154"/>
      <c r="K39" s="44"/>
      <c r="L39" s="44"/>
      <c r="M39" s="44"/>
      <c r="N39" s="44"/>
      <c r="O39" s="183" t="s">
        <v>210</v>
      </c>
      <c r="P39" s="184">
        <f>(+L11/J6)*A39</f>
        <v>0</v>
      </c>
      <c r="Q39" s="119" t="s">
        <v>210</v>
      </c>
      <c r="R39" s="121">
        <f>(+L11/J4)*A39</f>
        <v>0</v>
      </c>
      <c r="S39" s="122">
        <f>(R39*100)/(Q12-R43-R44)</f>
        <v>0</v>
      </c>
      <c r="T39" s="123" t="s">
        <v>123</v>
      </c>
    </row>
    <row r="40" spans="1:20">
      <c r="A40" s="188"/>
      <c r="B40" s="174" t="s">
        <v>280</v>
      </c>
      <c r="C40" s="175"/>
      <c r="D40" s="176"/>
      <c r="E40" s="44"/>
      <c r="F40" s="44"/>
      <c r="G40" s="44"/>
      <c r="H40" s="44"/>
      <c r="I40" s="154"/>
      <c r="J40" s="44"/>
      <c r="K40" s="154"/>
      <c r="L40" s="154"/>
      <c r="M40" s="44"/>
      <c r="N40" s="44"/>
      <c r="O40" s="189" t="s">
        <v>210</v>
      </c>
      <c r="P40" s="178">
        <f>SUM(P30:P39)</f>
        <v>1.3029781069684</v>
      </c>
      <c r="Q40" s="119"/>
      <c r="R40" s="181"/>
      <c r="S40" s="190">
        <f>(SUM(R20,R24,R27,R30)+SUM(A42:A44)+E43)/100</f>
        <v>0.669841354166667</v>
      </c>
      <c r="T40" s="191" t="s">
        <v>281</v>
      </c>
    </row>
    <row r="41" ht="15.75" spans="1:20">
      <c r="A41" s="192" t="s">
        <v>246</v>
      </c>
      <c r="B41" s="193"/>
      <c r="C41" s="193"/>
      <c r="D41" s="193"/>
      <c r="E41" s="193"/>
      <c r="F41" s="193"/>
      <c r="G41" s="193"/>
      <c r="H41" s="193"/>
      <c r="I41" s="193"/>
      <c r="J41" s="194"/>
      <c r="K41" s="195" t="s">
        <v>247</v>
      </c>
      <c r="L41" s="196" t="s">
        <v>248</v>
      </c>
      <c r="M41" s="197"/>
      <c r="N41" s="198"/>
      <c r="O41" s="199" t="s">
        <v>210</v>
      </c>
      <c r="P41" s="200">
        <f>+P40+P29</f>
        <v>5.48513822011901</v>
      </c>
      <c r="Q41" s="199" t="s">
        <v>210</v>
      </c>
      <c r="R41" s="201">
        <f>SUM(R16:R39)+(R45*A45)</f>
        <v>190.14074572768</v>
      </c>
      <c r="S41" s="202" t="s">
        <v>282</v>
      </c>
      <c r="T41" s="203"/>
    </row>
    <row r="42" spans="1:20">
      <c r="A42" s="204">
        <v>34</v>
      </c>
      <c r="B42" s="205" t="s">
        <v>250</v>
      </c>
      <c r="C42" s="206" t="s">
        <v>161</v>
      </c>
      <c r="D42" s="207"/>
      <c r="E42" s="208" t="str">
        <f>+K1</f>
        <v>A</v>
      </c>
      <c r="F42" s="144" t="s">
        <v>210</v>
      </c>
      <c r="G42" s="209">
        <f>+I42*J6</f>
        <v>5050.61355839149</v>
      </c>
      <c r="H42" s="210"/>
      <c r="I42" s="211">
        <f>+((((R42*J4)/1000)/J6))</f>
        <v>2.9573453633237</v>
      </c>
      <c r="J42" s="212" t="s">
        <v>251</v>
      </c>
      <c r="K42" s="213">
        <f>+((((T44*J4)/1000)/J6))</f>
        <v>2.38365490016376</v>
      </c>
      <c r="L42" s="214" t="s">
        <v>283</v>
      </c>
      <c r="M42" s="215"/>
      <c r="N42" s="216"/>
      <c r="O42" s="217" t="s">
        <v>210</v>
      </c>
      <c r="P42" s="218">
        <f>(P46*(A42/100))</f>
        <v>2.91397967943822</v>
      </c>
      <c r="Q42" s="119" t="s">
        <v>210</v>
      </c>
      <c r="R42" s="121">
        <f>(R46*(A42/100))</f>
        <v>101.01227116783</v>
      </c>
      <c r="S42" s="219" t="s">
        <v>210</v>
      </c>
      <c r="T42" s="220">
        <f>+R50-R48</f>
        <v>19.5952009358764</v>
      </c>
    </row>
    <row r="43" spans="1:20">
      <c r="A43" s="129">
        <f>IF(K1="A",Tabla!$J$217,IF(K1="B",Tabla!$K$217,IF(K1="C",Tabla!$L$217,Tabla!$M$217)))</f>
        <v>0</v>
      </c>
      <c r="B43" s="221" t="s">
        <v>123</v>
      </c>
      <c r="C43" s="39" t="s">
        <v>181</v>
      </c>
      <c r="D43" s="40"/>
      <c r="E43" s="71">
        <f>+N1</f>
        <v>0</v>
      </c>
      <c r="F43" s="222" t="s">
        <v>210</v>
      </c>
      <c r="G43" s="223">
        <f>+I43*J6</f>
        <v>5050.61355839149</v>
      </c>
      <c r="H43" s="224"/>
      <c r="I43" s="225">
        <f>+((((R43*J4)/1000)/J6))</f>
        <v>2.9573453633237</v>
      </c>
      <c r="J43" s="226" t="s">
        <v>251</v>
      </c>
      <c r="K43" s="227">
        <f>K42*J6</f>
        <v>4070.85351159767</v>
      </c>
      <c r="L43" s="228" t="s">
        <v>9</v>
      </c>
      <c r="M43" s="229"/>
      <c r="N43" s="230"/>
      <c r="O43" s="119" t="s">
        <v>210</v>
      </c>
      <c r="P43" s="173">
        <f>+P48-P41-P44</f>
        <v>2.91397967943822</v>
      </c>
      <c r="Q43" s="119" t="s">
        <v>210</v>
      </c>
      <c r="R43" s="121">
        <f>+R48-R41-R44</f>
        <v>101.01227116783</v>
      </c>
      <c r="S43" s="231" t="s">
        <v>284</v>
      </c>
      <c r="T43" s="232"/>
    </row>
    <row r="44" spans="1:20">
      <c r="A44" s="233">
        <f>IF(S1="AK",Tabla!$B$191,IF(S1="PM",Tabla!$B$192,IF(S1="4P",Tabla!$B$193,Tabla!$B$194)))+T2</f>
        <v>2</v>
      </c>
      <c r="B44" s="221" t="s">
        <v>252</v>
      </c>
      <c r="C44" s="234"/>
      <c r="D44" s="235"/>
      <c r="E44" s="71" t="str">
        <f>+S1</f>
        <v>AK</v>
      </c>
      <c r="F44" s="159" t="s">
        <v>210</v>
      </c>
      <c r="G44" s="236">
        <f>+I44*J6</f>
        <v>297.094915199499</v>
      </c>
      <c r="H44" s="237"/>
      <c r="I44" s="225">
        <f>+(((R44*J4)/1000)/J6)</f>
        <v>0.173961491960218</v>
      </c>
      <c r="J44" s="226" t="s">
        <v>251</v>
      </c>
      <c r="K44" s="238" t="s">
        <v>285</v>
      </c>
      <c r="L44" s="239" t="s">
        <v>210</v>
      </c>
      <c r="M44" s="240">
        <f>+I43-P43</f>
        <v>0.0433656838854803</v>
      </c>
      <c r="O44" s="119" t="s">
        <v>210</v>
      </c>
      <c r="P44" s="173">
        <f>+P46*(A44/100)</f>
        <v>0.171410569378719</v>
      </c>
      <c r="Q44" s="139" t="s">
        <v>210</v>
      </c>
      <c r="R44" s="181">
        <f>+R48*(A44/100)</f>
        <v>5.94189830398999</v>
      </c>
      <c r="S44" s="219" t="s">
        <v>210</v>
      </c>
      <c r="T44" s="220">
        <f>+R43-T42</f>
        <v>81.4170702319534</v>
      </c>
    </row>
    <row r="45" ht="15.75" spans="1:20">
      <c r="A45" s="241">
        <v>0</v>
      </c>
      <c r="B45" s="170" t="s">
        <v>286</v>
      </c>
      <c r="C45" s="171"/>
      <c r="D45" s="172"/>
      <c r="E45" s="242">
        <v>1</v>
      </c>
      <c r="F45" s="222" t="s">
        <v>210</v>
      </c>
      <c r="G45" s="243">
        <f>+(D10*(N9+3)*S10*0.055)</f>
        <v>1655.72</v>
      </c>
      <c r="H45" s="244"/>
      <c r="I45" s="225">
        <f>+G45/J6</f>
        <v>0.969493272124697</v>
      </c>
      <c r="J45" s="212" t="s">
        <v>251</v>
      </c>
      <c r="K45" s="245">
        <f>+G43-K43</f>
        <v>979.76004679382</v>
      </c>
      <c r="L45" s="154"/>
      <c r="M45" s="44"/>
      <c r="N45" s="44"/>
      <c r="O45" s="139" t="s">
        <v>210</v>
      </c>
      <c r="P45" s="187">
        <f>+I45*A45</f>
        <v>0</v>
      </c>
      <c r="Q45" s="119" t="s">
        <v>210</v>
      </c>
      <c r="R45" s="181">
        <f>(+J6*I45/J4*1000)*A45</f>
        <v>0</v>
      </c>
      <c r="S45" s="246"/>
      <c r="T45" s="247"/>
    </row>
    <row r="46" ht="15.75" spans="1:20">
      <c r="A46" s="248" t="s">
        <v>254</v>
      </c>
      <c r="B46" s="249" t="s">
        <v>255</v>
      </c>
      <c r="C46" s="250"/>
      <c r="D46" s="250"/>
      <c r="E46" s="251"/>
      <c r="F46" s="159" t="s">
        <v>210</v>
      </c>
      <c r="G46" s="223">
        <f>+I46*J6</f>
        <v>5050.61355839149</v>
      </c>
      <c r="H46" s="224"/>
      <c r="I46" s="225">
        <f>I43-(I45*E45*A45)</f>
        <v>2.9573453633237</v>
      </c>
      <c r="J46" s="212" t="s">
        <v>251</v>
      </c>
      <c r="K46" s="44"/>
      <c r="L46" s="44"/>
      <c r="M46" s="44"/>
      <c r="N46" s="44"/>
      <c r="O46" s="252" t="s">
        <v>210</v>
      </c>
      <c r="P46" s="253">
        <f>+P41/(1-((A42+A44)/100))</f>
        <v>8.57052846893595</v>
      </c>
      <c r="Q46" s="254" t="s">
        <v>210</v>
      </c>
      <c r="R46" s="255">
        <f>+R41/(1-((A42+A44)/100))</f>
        <v>297.094915199499</v>
      </c>
      <c r="T46" s="179"/>
    </row>
    <row r="47" ht="15.75" spans="1:20">
      <c r="A47" s="258"/>
      <c r="B47" s="259"/>
      <c r="C47" s="259"/>
      <c r="D47" s="259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60" t="s">
        <v>210</v>
      </c>
      <c r="P47" s="261">
        <f>+P46*(E43/100)</f>
        <v>0</v>
      </c>
      <c r="Q47" s="254" t="s">
        <v>210</v>
      </c>
      <c r="R47" s="255">
        <f>+R46*(E43/100)</f>
        <v>0</v>
      </c>
      <c r="S47" s="44"/>
      <c r="T47" s="179"/>
    </row>
    <row r="48" ht="19.5" spans="1:20">
      <c r="A48" s="258"/>
      <c r="B48" s="259"/>
      <c r="C48" s="259"/>
      <c r="D48" s="259"/>
      <c r="E48" s="44"/>
      <c r="F48" s="263" t="s">
        <v>270</v>
      </c>
      <c r="G48" s="264"/>
      <c r="H48" s="264"/>
      <c r="I48" s="264"/>
      <c r="J48" s="264"/>
      <c r="K48" s="264"/>
      <c r="L48" s="264"/>
      <c r="M48" s="264"/>
      <c r="N48" s="265"/>
      <c r="O48" s="260" t="s">
        <v>210</v>
      </c>
      <c r="P48" s="261">
        <f>+P46+P47</f>
        <v>8.57052846893595</v>
      </c>
      <c r="Q48" s="254" t="s">
        <v>210</v>
      </c>
      <c r="R48" s="255">
        <f>+R46+R47</f>
        <v>297.094915199499</v>
      </c>
      <c r="S48" s="44"/>
      <c r="T48" s="179"/>
    </row>
    <row r="49" ht="19.5" spans="1:20">
      <c r="A49" s="258"/>
      <c r="B49" s="259"/>
      <c r="C49" s="259"/>
      <c r="D49" s="259"/>
      <c r="E49" s="44"/>
      <c r="F49" s="263"/>
      <c r="G49" s="264"/>
      <c r="H49" s="264"/>
      <c r="I49" s="264"/>
      <c r="J49" s="264"/>
      <c r="K49" s="264"/>
      <c r="L49" s="264"/>
      <c r="M49" s="267"/>
      <c r="N49" s="268"/>
      <c r="O49" s="269"/>
      <c r="P49" s="261"/>
      <c r="Q49" s="254" t="s">
        <v>210</v>
      </c>
      <c r="R49" s="255">
        <f>(+R41/(1-((A42+(A44+(A44*N13)))/100)))+R46*(E43/100)</f>
        <v>297.688709167253</v>
      </c>
      <c r="S49" s="44"/>
      <c r="T49" s="179"/>
    </row>
    <row r="50" ht="19.5" spans="1:20">
      <c r="A50" s="270"/>
      <c r="B50" s="271"/>
      <c r="C50" s="272"/>
      <c r="D50" s="273"/>
      <c r="E50" s="271"/>
      <c r="F50" s="263" t="s">
        <v>220</v>
      </c>
      <c r="G50" s="264"/>
      <c r="H50" s="264"/>
      <c r="I50" s="264"/>
      <c r="J50" s="274">
        <f>+K13</f>
        <v>45</v>
      </c>
      <c r="K50" s="264" t="s">
        <v>221</v>
      </c>
      <c r="L50" s="265"/>
      <c r="M50" s="275">
        <f>+N13</f>
        <v>0.0638297872340426</v>
      </c>
      <c r="N50" s="268"/>
      <c r="O50" s="276" t="s">
        <v>210</v>
      </c>
      <c r="P50" s="277">
        <f>+(P48*M50)+P48</f>
        <v>9.11758347759144</v>
      </c>
      <c r="Q50" s="278" t="s">
        <v>210</v>
      </c>
      <c r="R50" s="279">
        <f>+(R49*M50)+R49</f>
        <v>316.690116135376</v>
      </c>
      <c r="S50" s="271"/>
      <c r="T50" s="280"/>
    </row>
    <row r="53" spans="1:20">
      <c r="G53" s="282"/>
      <c r="H53" s="282"/>
      <c r="I53" s="282"/>
      <c r="J53" s="282"/>
    </row>
    <row r="54" spans="1:20">
      <c r="H54" s="282"/>
      <c r="I54" s="282"/>
      <c r="J54" s="282"/>
    </row>
    <row r="55" spans="1:20">
      <c r="H55" s="282"/>
      <c r="I55" s="282"/>
      <c r="J55" s="282"/>
    </row>
    <row r="56" spans="1:20">
      <c r="H56" s="282"/>
      <c r="I56" s="282"/>
      <c r="J56" s="282"/>
    </row>
    <row r="57" spans="1:20">
      <c r="H57" s="282"/>
      <c r="I57" s="282"/>
      <c r="J57" s="282"/>
    </row>
    <row r="58" spans="1:20">
      <c r="H58" s="282"/>
      <c r="I58" s="282"/>
      <c r="J58" s="282"/>
    </row>
    <row r="59" spans="1:20">
      <c r="H59" s="282"/>
      <c r="I59" s="282"/>
      <c r="J59" s="282"/>
    </row>
    <row r="60" spans="1:20">
      <c r="H60" s="282"/>
      <c r="I60" s="282"/>
      <c r="J60" s="282"/>
    </row>
  </sheetData>
  <mergeCells count="127">
    <mergeCell ref="A1:B1"/>
    <mergeCell ref="C1:J1"/>
    <mergeCell ref="L1:M1"/>
    <mergeCell ref="S1:T1"/>
    <mergeCell ref="A2:B2"/>
    <mergeCell ref="C2:J2"/>
    <mergeCell ref="K2:L2"/>
    <mergeCell ref="M2:N2"/>
    <mergeCell ref="O2:P2"/>
    <mergeCell ref="Q2:R2"/>
    <mergeCell ref="B3:C3"/>
    <mergeCell ref="D3:E3"/>
    <mergeCell ref="G3:I3"/>
    <mergeCell ref="Q3:R3"/>
    <mergeCell ref="S3:T3"/>
    <mergeCell ref="B4:C4"/>
    <mergeCell ref="D4:E4"/>
    <mergeCell ref="H4:I4"/>
    <mergeCell ref="S4:T4"/>
    <mergeCell ref="B5:C5"/>
    <mergeCell ref="D5:E5"/>
    <mergeCell ref="H5:I5"/>
    <mergeCell ref="S5:T5"/>
    <mergeCell ref="B6:C6"/>
    <mergeCell ref="D6:E6"/>
    <mergeCell ref="H6:I6"/>
    <mergeCell ref="P6:Q6"/>
    <mergeCell ref="S6:T6"/>
    <mergeCell ref="B7:C7"/>
    <mergeCell ref="G7:I7"/>
    <mergeCell ref="K7:M7"/>
    <mergeCell ref="P7:Q7"/>
    <mergeCell ref="S7:T7"/>
    <mergeCell ref="B8:C8"/>
    <mergeCell ref="D8:E8"/>
    <mergeCell ref="G8:I8"/>
    <mergeCell ref="L8:M8"/>
    <mergeCell ref="P8:Q8"/>
    <mergeCell ref="S8:T8"/>
    <mergeCell ref="B9:C9"/>
    <mergeCell ref="D9:E9"/>
    <mergeCell ref="G9:I9"/>
    <mergeCell ref="L9:M9"/>
    <mergeCell ref="P9:Q9"/>
    <mergeCell ref="S9:T9"/>
    <mergeCell ref="B10:C10"/>
    <mergeCell ref="D10:E10"/>
    <mergeCell ref="G10:I10"/>
    <mergeCell ref="L10:M10"/>
    <mergeCell ref="P10:Q10"/>
    <mergeCell ref="S10:T10"/>
    <mergeCell ref="G11:I11"/>
    <mergeCell ref="M11:O11"/>
    <mergeCell ref="P11:Q11"/>
    <mergeCell ref="G12:O12"/>
    <mergeCell ref="Q12:R12"/>
    <mergeCell ref="G13:J13"/>
    <mergeCell ref="L13:M13"/>
    <mergeCell ref="N13:O13"/>
    <mergeCell ref="Q13:R13"/>
    <mergeCell ref="A14:T14"/>
    <mergeCell ref="B15:D15"/>
    <mergeCell ref="F15:G15"/>
    <mergeCell ref="H15:I15"/>
    <mergeCell ref="M15:N15"/>
    <mergeCell ref="O15:P15"/>
    <mergeCell ref="Q15:R15"/>
    <mergeCell ref="S15:T15"/>
    <mergeCell ref="B16:D16"/>
    <mergeCell ref="F16:G16"/>
    <mergeCell ref="H16:I16"/>
    <mergeCell ref="B17:D17"/>
    <mergeCell ref="F17:G17"/>
    <mergeCell ref="H17:I17"/>
    <mergeCell ref="B18:D18"/>
    <mergeCell ref="F18:G18"/>
    <mergeCell ref="H18:I18"/>
    <mergeCell ref="B19:D19"/>
    <mergeCell ref="H19:I19"/>
    <mergeCell ref="B20:D20"/>
    <mergeCell ref="H20:I20"/>
    <mergeCell ref="B21:D21"/>
    <mergeCell ref="J21:K21"/>
    <mergeCell ref="B22:D22"/>
    <mergeCell ref="J22:K22"/>
    <mergeCell ref="B23:D23"/>
    <mergeCell ref="J23:K23"/>
    <mergeCell ref="B24:D24"/>
    <mergeCell ref="B25:D25"/>
    <mergeCell ref="J25:K25"/>
    <mergeCell ref="B26:D26"/>
    <mergeCell ref="J26:K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C38"/>
    <mergeCell ref="B39:D39"/>
    <mergeCell ref="B40:D40"/>
    <mergeCell ref="A41:J41"/>
    <mergeCell ref="L41:N41"/>
    <mergeCell ref="S41:T41"/>
    <mergeCell ref="C42:D42"/>
    <mergeCell ref="G42:H42"/>
    <mergeCell ref="L42:N42"/>
    <mergeCell ref="C43:D43"/>
    <mergeCell ref="G43:H43"/>
    <mergeCell ref="L43:N43"/>
    <mergeCell ref="S43:T43"/>
    <mergeCell ref="C44:D44"/>
    <mergeCell ref="G44:H44"/>
    <mergeCell ref="B45:D45"/>
    <mergeCell ref="G45:H45"/>
    <mergeCell ref="G46:H46"/>
    <mergeCell ref="F48:N48"/>
    <mergeCell ref="F50:I50"/>
    <mergeCell ref="K50:L50"/>
    <mergeCell ref="M50:N50"/>
    <mergeCell ref="A4:A6"/>
    <mergeCell ref="A11:F13"/>
  </mergeCells>
  <conditionalFormatting sqref="N1">
    <cfRule type="cellIs" dxfId="0" priority="6" operator="notBetween">
      <formula>0</formula>
      <formula>0</formula>
    </cfRule>
    <cfRule type="cellIs" dxfId="0" priority="7" operator="greaterThan">
      <formula>0</formula>
    </cfRule>
  </conditionalFormatting>
  <conditionalFormatting sqref="T2">
    <cfRule type="cellIs" dxfId="0" priority="8" operator="notBetween">
      <formula>0</formula>
      <formula>0</formula>
    </cfRule>
    <cfRule type="cellIs" dxfId="0" priority="9" operator="greaterThan">
      <formula>0</formula>
    </cfRule>
  </conditionalFormatting>
  <conditionalFormatting sqref="D7">
    <cfRule type="containsText" dxfId="1" priority="15" operator="between" text="NO">
      <formula>NOT(ISERROR(SEARCH("NO",D7)))</formula>
    </cfRule>
  </conditionalFormatting>
  <conditionalFormatting sqref="F7">
    <cfRule type="containsText" dxfId="1" priority="14" operator="between" text="NO">
      <formula>NOT(ISERROR(SEARCH("NO",F7)))</formula>
    </cfRule>
  </conditionalFormatting>
  <conditionalFormatting sqref="J7">
    <cfRule type="containsText" dxfId="1" priority="10" operator="between" text="NO">
      <formula>NOT(ISERROR(SEARCH("NO",J7)))</formula>
    </cfRule>
    <cfRule type="containsText" dxfId="2" priority="11" stopIfTrue="1" operator="between" text="BI">
      <formula>NOT(ISERROR(SEARCH("BI",J7)))</formula>
    </cfRule>
  </conditionalFormatting>
  <conditionalFormatting sqref="N7">
    <cfRule type="notContainsText" dxfId="1" priority="38" operator="notContains" text="SI">
      <formula>ISERROR(SEARCH("SI",N7))</formula>
    </cfRule>
  </conditionalFormatting>
  <conditionalFormatting sqref="S7">
    <cfRule type="cellIs" dxfId="0" priority="1" operator="notBetween">
      <formula>0</formula>
      <formula>0</formula>
    </cfRule>
    <cfRule type="cellIs" dxfId="0" priority="2" operator="greaterThan">
      <formula>0</formula>
    </cfRule>
  </conditionalFormatting>
  <conditionalFormatting sqref="N9">
    <cfRule type="containsText" dxfId="1" priority="19" operator="between" text="NO DISPBLE">
      <formula>NOT(ISERROR(SEARCH("NO DISPBLE",N9)))</formula>
    </cfRule>
  </conditionalFormatting>
  <conditionalFormatting sqref="S9:T9">
    <cfRule type="cellIs" dxfId="0" priority="16" operator="notEqual">
      <formula>100</formula>
    </cfRule>
  </conditionalFormatting>
  <conditionalFormatting sqref="J11">
    <cfRule type="containsText" dxfId="1" priority="5" operator="between" text="NO">
      <formula>NOT(ISERROR(SEARCH("NO",J11)))</formula>
    </cfRule>
  </conditionalFormatting>
  <conditionalFormatting sqref="L11">
    <cfRule type="cellIs" dxfId="0" priority="3" operator="greaterThan">
      <formula>0</formula>
    </cfRule>
  </conditionalFormatting>
  <conditionalFormatting sqref="R11">
    <cfRule type="cellIs" dxfId="0" priority="17" operator="notEqual">
      <formula>100</formula>
    </cfRule>
  </conditionalFormatting>
  <conditionalFormatting sqref="T11">
    <cfRule type="notContainsText" dxfId="1" priority="12" operator="notContains" text="1">
      <formula>ISERROR(SEARCH("1",T11))</formula>
    </cfRule>
  </conditionalFormatting>
  <conditionalFormatting sqref="J13">
    <cfRule type="cellIs" dxfId="0" priority="22" operator="greaterThan">
      <formula>0</formula>
    </cfRule>
  </conditionalFormatting>
  <conditionalFormatting sqref="A16:A18">
    <cfRule type="notContainsText" dxfId="1" priority="13" operator="notContains" text="1">
      <formula>ISERROR(SEARCH("1",A16))</formula>
    </cfRule>
  </conditionalFormatting>
  <conditionalFormatting sqref="A19:A20">
    <cfRule type="cellIs" dxfId="0" priority="21" operator="equal">
      <formula>"NO"</formula>
    </cfRule>
  </conditionalFormatting>
  <conditionalFormatting sqref="A39:A40">
    <cfRule type="cellIs" dxfId="0" priority="4" operator="equal">
      <formula>"NO"</formula>
    </cfRule>
  </conditionalFormatting>
  <conditionalFormatting sqref="D4:D6">
    <cfRule type="containsText" dxfId="3" priority="23" operator="between" text="BoppBlanco">
      <formula>NOT(ISERROR(SEARCH("BoppBlanco",D4)))</formula>
    </cfRule>
    <cfRule type="containsText" dxfId="4" priority="24" operator="between" text="FoilAluminio">
      <formula>NOT(ISERROR(SEARCH("FoilAluminio",D4)))</formula>
    </cfRule>
    <cfRule type="containsText" dxfId="5" priority="25" operator="between" text="PapelSeda">
      <formula>NOT(ISERROR(SEARCH("PapelSeda",D4)))</formula>
    </cfRule>
    <cfRule type="containsText" dxfId="6" priority="26" operator="between" text="PolietilenoEvohBco">
      <formula>NOT(ISERROR(SEARCH("PolietilenoEvohBco",D4)))</formula>
    </cfRule>
    <cfRule type="containsText" dxfId="7" priority="27" operator="between" text="PolietilenoEvohCtal">
      <formula>NOT(ISERROR(SEARCH("PolietilenoEvohCtal",D4)))</formula>
    </cfRule>
    <cfRule type="expression" dxfId="8" priority="28">
      <formula>D4="PolietilenoDpk"</formula>
    </cfRule>
    <cfRule type="expression" dxfId="9" priority="29" stopIfTrue="1">
      <formula>D4="BoppMate"</formula>
    </cfRule>
    <cfRule type="expression" dxfId="10" priority="30" stopIfTrue="1">
      <formula>D4="BoppCristal"</formula>
    </cfRule>
    <cfRule type="expression" dxfId="11" priority="31" stopIfTrue="1">
      <formula>D4="BoppMetalizado"</formula>
    </cfRule>
    <cfRule type="expression" dxfId="12" priority="32" stopIfTrue="1">
      <formula>D4="BoppPerladoBlanco"</formula>
    </cfRule>
    <cfRule type="expression" dxfId="13" priority="33" stopIfTrue="1">
      <formula>D4="PoliesterMetalizado"</formula>
    </cfRule>
    <cfRule type="expression" dxfId="14" priority="34" stopIfTrue="1">
      <formula>D4="PoliesterSaran"</formula>
    </cfRule>
    <cfRule type="expression" dxfId="15" priority="35" stopIfTrue="1">
      <formula>D4="PolietilenoBlanco"</formula>
    </cfRule>
    <cfRule type="expression" dxfId="16" priority="36" stopIfTrue="1">
      <formula>D4="PolietilenoCristal"</formula>
    </cfRule>
    <cfRule type="expression" dxfId="17" priority="37">
      <formula>D4="PoliesterCristal"</formula>
    </cfRule>
  </conditionalFormatting>
  <conditionalFormatting sqref="I48:I50">
    <cfRule type="cellIs" dxfId="0" priority="39" operator="greaterThan">
      <formula>0</formula>
    </cfRule>
  </conditionalFormatting>
  <conditionalFormatting sqref="J8:J10">
    <cfRule type="cellIs" dxfId="0" priority="20" operator="greaterThan">
      <formula>0</formula>
    </cfRule>
  </conditionalFormatting>
  <conditionalFormatting sqref="S3:T5">
    <cfRule type="containsText" dxfId="1" priority="18" operator="between" text="SI">
      <formula>NOT(ISERROR(SEARCH("SI",S3)))</formula>
    </cfRule>
  </conditionalFormatting>
  <dataValidations count="13">
    <dataValidation type="list" allowBlank="1" showInputMessage="1" showErrorMessage="1" sqref="K1">
      <formula1>Cliente</formula1>
    </dataValidation>
    <dataValidation type="list" allowBlank="1" showInputMessage="1" showErrorMessage="1" sqref="S1">
      <formula1>Vendedor</formula1>
    </dataValidation>
    <dataValidation type="list" allowBlank="1" showInputMessage="1" showErrorMessage="1" sqref="D7 F7 J11 S3:T5">
      <formula1>Tabla!$F$79:$G$79</formula1>
    </dataValidation>
    <dataValidation type="list" allowBlank="1" showInputMessage="1" showErrorMessage="1" sqref="J7 N7">
      <formula1>Tabla!$F$121:$H$121</formula1>
    </dataValidation>
    <dataValidation type="whole" operator="between" showInputMessage="1" showErrorMessage="1" error="Valor Mayor a 0" sqref="R8 T11">
      <formula1>1</formula1>
      <formula2>100</formula2>
    </dataValidation>
    <dataValidation type="list" allowBlank="1" showInputMessage="1" showErrorMessage="1" sqref="N10">
      <formula1>Tabla!$L$87:$L$104</formula1>
    </dataValidation>
    <dataValidation type="whole" operator="between" allowBlank="1" showInputMessage="1" showErrorMessage="1" error="Valor entre 1 y 8" sqref="R10">
      <formula1>1</formula1>
      <formula2>8</formula2>
    </dataValidation>
    <dataValidation type="list" allowBlank="1" showInputMessage="1" showErrorMessage="1" sqref="S12">
      <formula1>Tabla!$A$162:$A$188</formula1>
    </dataValidation>
    <dataValidation type="list" allowBlank="1" showInputMessage="1" showErrorMessage="1" sqref="T12">
      <formula1>Tabla!$B$161:$E$161</formula1>
    </dataValidation>
    <dataValidation type="list" allowBlank="1" showInputMessage="1" showErrorMessage="1" sqref="K13">
      <formula1>Tabla!$A$199:$A$202</formula1>
    </dataValidation>
    <dataValidation type="list" allowBlank="1" showInputMessage="1" showErrorMessage="1" sqref="B4:B6">
      <formula1>Material</formula1>
    </dataValidation>
    <dataValidation type="list" allowBlank="1" showInputMessage="1" showErrorMessage="1" sqref="D4:D6">
      <formula1>Tabla!$A$35:$R$35</formula1>
    </dataValidation>
    <dataValidation type="list" allowBlank="1" showInputMessage="1" showErrorMessage="1" sqref="F4:F6">
      <formula1>INDIRECT(D4)</formula1>
    </dataValidation>
  </dataValidations>
  <pageMargins left="0.393700787401575" right="0.708661417322835" top="0.47244094488189" bottom="0.748031496062992" header="0.31496062992126" footer="0.31496062992126"/>
  <pageSetup paperSize="9" scale="39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50"/>
  <sheetViews>
    <sheetView tabSelected="1" zoomScale="140" zoomScaleNormal="140" workbookViewId="0">
      <selection activeCell="F16" sqref="F16:G17"/>
    </sheetView>
  </sheetViews>
  <sheetFormatPr defaultColWidth="11" defaultRowHeight="15"/>
  <cols>
    <col min="16" max="16" width="12" customWidth="1"/>
    <col min="19" max="19" width="11.6666666666667" customWidth="1"/>
  </cols>
  <sheetData>
    <row r="1" ht="27" spans="1:20">
      <c r="A1" s="1" t="s">
        <v>180</v>
      </c>
      <c r="B1" s="2"/>
      <c r="C1" s="3" t="s">
        <v>161</v>
      </c>
      <c r="D1" s="3"/>
      <c r="E1" s="3"/>
      <c r="F1" s="3"/>
      <c r="G1" s="3"/>
      <c r="H1" s="3"/>
      <c r="I1" s="3"/>
      <c r="J1" s="3"/>
      <c r="K1" s="4" t="s">
        <v>163</v>
      </c>
      <c r="L1" s="5" t="s">
        <v>181</v>
      </c>
      <c r="M1" s="6"/>
      <c r="N1" s="7">
        <v>0</v>
      </c>
      <c r="O1" s="8"/>
      <c r="P1" s="8"/>
      <c r="Q1" s="9" t="s">
        <v>160</v>
      </c>
      <c r="R1" s="10"/>
      <c r="S1" s="11" t="s">
        <v>162</v>
      </c>
      <c r="T1" s="12"/>
    </row>
    <row r="2" spans="1:20">
      <c r="A2" s="13" t="s">
        <v>256</v>
      </c>
      <c r="B2" s="14"/>
      <c r="C2" s="15" t="s">
        <v>288</v>
      </c>
      <c r="D2" s="16"/>
      <c r="E2" s="16"/>
      <c r="F2" s="16"/>
      <c r="G2" s="16"/>
      <c r="H2" s="16"/>
      <c r="I2" s="16"/>
      <c r="J2" s="17"/>
      <c r="K2" s="18" t="s">
        <v>184</v>
      </c>
      <c r="L2" s="19"/>
      <c r="M2" s="20" t="s">
        <v>289</v>
      </c>
      <c r="N2" s="20"/>
      <c r="O2" s="21" t="s">
        <v>290</v>
      </c>
      <c r="P2" s="22"/>
      <c r="Q2" s="23">
        <f ca="1">TODAY()</f>
        <v>46286</v>
      </c>
      <c r="R2" s="24"/>
      <c r="S2" s="5" t="s">
        <v>181</v>
      </c>
      <c r="T2" s="25">
        <v>0</v>
      </c>
    </row>
    <row r="3" spans="1:20">
      <c r="A3" s="26"/>
      <c r="B3" s="27" t="s">
        <v>187</v>
      </c>
      <c r="C3" s="14"/>
      <c r="D3" s="28">
        <v>24</v>
      </c>
      <c r="E3" s="29"/>
      <c r="F3" s="30" t="s">
        <v>188</v>
      </c>
      <c r="G3" s="31" t="s">
        <v>257</v>
      </c>
      <c r="H3" s="31"/>
      <c r="I3" s="31"/>
      <c r="J3" s="32">
        <v>54</v>
      </c>
      <c r="K3" s="30" t="s">
        <v>188</v>
      </c>
      <c r="L3" s="27" t="s">
        <v>258</v>
      </c>
      <c r="M3" s="14"/>
      <c r="N3" s="29">
        <v>14</v>
      </c>
      <c r="O3" s="33" t="s">
        <v>188</v>
      </c>
      <c r="Q3" s="31" t="s">
        <v>259</v>
      </c>
      <c r="R3" s="31"/>
      <c r="S3" s="34" t="s">
        <v>106</v>
      </c>
      <c r="T3" s="35"/>
    </row>
    <row r="4" spans="1:20">
      <c r="A4" s="36" t="s">
        <v>19</v>
      </c>
      <c r="B4" s="37" t="s">
        <v>72</v>
      </c>
      <c r="C4" s="38"/>
      <c r="D4" s="39" t="s">
        <v>22</v>
      </c>
      <c r="E4" s="40"/>
      <c r="F4" s="34">
        <v>40</v>
      </c>
      <c r="G4" s="30" t="s">
        <v>192</v>
      </c>
      <c r="H4" s="41" t="s">
        <v>260</v>
      </c>
      <c r="I4" s="14"/>
      <c r="J4" s="42">
        <v>80000</v>
      </c>
      <c r="K4" s="43" t="s">
        <v>261</v>
      </c>
      <c r="L4" s="44"/>
      <c r="M4" s="44"/>
      <c r="N4" s="44"/>
      <c r="O4" s="44"/>
      <c r="P4" s="44"/>
      <c r="Q4" s="44"/>
      <c r="R4" s="31" t="s">
        <v>262</v>
      </c>
      <c r="S4" s="34" t="s">
        <v>106</v>
      </c>
      <c r="T4" s="35"/>
    </row>
    <row r="5" spans="1:20">
      <c r="A5" s="45"/>
      <c r="B5" s="37" t="s">
        <v>24</v>
      </c>
      <c r="C5" s="38"/>
      <c r="D5" s="46" t="s">
        <v>35</v>
      </c>
      <c r="E5" s="47"/>
      <c r="F5" s="34">
        <v>90</v>
      </c>
      <c r="G5" s="30" t="s">
        <v>192</v>
      </c>
      <c r="H5" s="31" t="s">
        <v>194</v>
      </c>
      <c r="I5" s="27"/>
      <c r="J5" s="48">
        <f>(+J4*D3/100)/R6</f>
        <v>19200</v>
      </c>
      <c r="K5" s="30" t="s">
        <v>195</v>
      </c>
      <c r="M5" s="44"/>
      <c r="N5" s="44"/>
      <c r="O5" s="44"/>
      <c r="P5" s="44"/>
      <c r="Q5" s="44"/>
      <c r="R5" s="31" t="s">
        <v>263</v>
      </c>
      <c r="S5" s="34" t="s">
        <v>106</v>
      </c>
      <c r="T5" s="35"/>
    </row>
    <row r="6" ht="15.75" spans="1:20">
      <c r="A6" s="49"/>
      <c r="B6" s="37" t="s">
        <v>90</v>
      </c>
      <c r="C6" s="38"/>
      <c r="D6" s="39" t="s">
        <v>90</v>
      </c>
      <c r="E6" s="40"/>
      <c r="F6" s="34">
        <v>0</v>
      </c>
      <c r="G6" s="30" t="s">
        <v>192</v>
      </c>
      <c r="H6" s="31" t="s">
        <v>198</v>
      </c>
      <c r="I6" s="31"/>
      <c r="J6" s="50">
        <f>(SUM(L16:L18))*(J5/1000)</f>
        <v>1423.7184</v>
      </c>
      <c r="K6" s="51" t="s">
        <v>199</v>
      </c>
      <c r="L6" s="44"/>
      <c r="M6" s="44"/>
      <c r="N6" s="44"/>
      <c r="O6" s="44"/>
      <c r="P6" s="27" t="s">
        <v>264</v>
      </c>
      <c r="Q6" s="14"/>
      <c r="R6" s="52">
        <v>1</v>
      </c>
      <c r="S6" s="27" t="s">
        <v>265</v>
      </c>
      <c r="T6" s="14"/>
    </row>
    <row r="7" spans="1:20">
      <c r="A7" s="53"/>
      <c r="B7" s="27" t="s">
        <v>104</v>
      </c>
      <c r="C7" s="14"/>
      <c r="D7" s="34" t="s">
        <v>105</v>
      </c>
      <c r="E7" s="27" t="s">
        <v>204</v>
      </c>
      <c r="F7" s="34" t="s">
        <v>106</v>
      </c>
      <c r="G7" s="54" t="s">
        <v>266</v>
      </c>
      <c r="H7" s="55"/>
      <c r="I7" s="56"/>
      <c r="J7" s="52" t="s">
        <v>105</v>
      </c>
      <c r="K7" s="54" t="s">
        <v>206</v>
      </c>
      <c r="L7" s="55"/>
      <c r="M7" s="56"/>
      <c r="N7" s="52" t="s">
        <v>106</v>
      </c>
      <c r="O7" s="57">
        <f>+N8*R7</f>
        <v>54</v>
      </c>
      <c r="P7" s="27" t="s">
        <v>267</v>
      </c>
      <c r="Q7" s="14"/>
      <c r="R7" s="34">
        <v>1</v>
      </c>
      <c r="S7" s="7">
        <v>0</v>
      </c>
      <c r="T7" s="58"/>
    </row>
    <row r="8" spans="1:20">
      <c r="A8" s="53"/>
      <c r="B8" s="27" t="s">
        <v>187</v>
      </c>
      <c r="C8" s="14"/>
      <c r="D8" s="59">
        <f>+(D3*2)+N3</f>
        <v>62</v>
      </c>
      <c r="E8" s="60"/>
      <c r="F8" s="30" t="s">
        <v>188</v>
      </c>
      <c r="G8" s="31" t="s">
        <v>209</v>
      </c>
      <c r="H8" s="31"/>
      <c r="I8" s="31"/>
      <c r="J8" s="52">
        <v>0</v>
      </c>
      <c r="K8" s="30" t="s">
        <v>188</v>
      </c>
      <c r="L8" s="27" t="s">
        <v>190</v>
      </c>
      <c r="M8" s="14"/>
      <c r="N8" s="61">
        <f>+J3</f>
        <v>54</v>
      </c>
      <c r="O8" s="33" t="s">
        <v>188</v>
      </c>
      <c r="P8" s="27" t="s">
        <v>202</v>
      </c>
      <c r="Q8" s="14"/>
      <c r="R8" s="34">
        <v>1</v>
      </c>
      <c r="S8" s="54" t="s">
        <v>203</v>
      </c>
      <c r="T8" s="62"/>
    </row>
    <row r="9" spans="1:20">
      <c r="A9" s="53"/>
      <c r="B9" s="27" t="s">
        <v>208</v>
      </c>
      <c r="C9" s="14"/>
      <c r="D9" s="46">
        <f>(+D8*R6)+S7</f>
        <v>62</v>
      </c>
      <c r="E9" s="47"/>
      <c r="F9" s="30" t="s">
        <v>188</v>
      </c>
      <c r="G9" s="31" t="s">
        <v>213</v>
      </c>
      <c r="H9" s="31"/>
      <c r="I9" s="31"/>
      <c r="J9" s="52">
        <v>0</v>
      </c>
      <c r="K9" s="30" t="s">
        <v>188</v>
      </c>
      <c r="L9" s="31" t="s">
        <v>193</v>
      </c>
      <c r="M9" s="31"/>
      <c r="N9" s="46">
        <f>IF(O7=Tabla!$L$87,Tabla!$L$87,IF(O7=Tabla!$L$88,Tabla!$L$88,IF(O7=Tabla!$L$89,Tabla!$L$89,IF(O7=Tabla!$L$90,Tabla!$L$90,IF(O7=Tabla!$L$91,Tabla!$L$91,IF(O7=Tabla!$L$92,Tabla!$L$92,IF(O7=Tabla!$L$93,Tabla!$L$93,IF(O7=Tabla!$L$94,Tabla!$L$94,IF(O7=Tabla!$L$95,Tabla!$L$95,IF(O7=Tabla!$L$96,Tabla!$L$96,IF(O7=Tabla!$L$97,Tabla!$L$97,IF(O7=Tabla!$L$98,Tabla!$L$98,IF(O7=Tabla!$L$99,Tabla!$L$99,IF(O7=Tabla!$L$100,Tabla!$L$100,IF(O7=Tabla!$L$101,Tabla!$L$101,IF(O7=Tabla!$L$102,Tabla!$L$102,IF(O7=Tabla!$L$103,Tabla!$L$103,IF(O7=Tabla!$L$104,Tabla!$L$104,IF(O7=Tabla!$L$105,Tabla!$L$105,IF(O7=Tabla!$L$106,Tabla!$L$106,”NO DISPBLE”))))))))))))))))))))</f>
        <v>54</v>
      </c>
      <c r="O9" s="33" t="s">
        <v>188</v>
      </c>
      <c r="P9" s="27" t="s">
        <v>207</v>
      </c>
      <c r="Q9" s="14"/>
      <c r="R9" s="34">
        <v>0</v>
      </c>
      <c r="S9" s="34">
        <v>100</v>
      </c>
      <c r="T9" s="35"/>
    </row>
    <row r="10" ht="15.75" spans="1:20">
      <c r="A10" s="53"/>
      <c r="B10" s="63" t="s">
        <v>212</v>
      </c>
      <c r="C10" s="64"/>
      <c r="D10" s="65">
        <f>+D9+3</f>
        <v>65</v>
      </c>
      <c r="E10" s="65"/>
      <c r="F10" s="66" t="s">
        <v>188</v>
      </c>
      <c r="G10" s="67" t="s">
        <v>215</v>
      </c>
      <c r="H10" s="68"/>
      <c r="I10" s="68"/>
      <c r="J10" s="69">
        <v>0</v>
      </c>
      <c r="K10" s="30" t="s">
        <v>188</v>
      </c>
      <c r="L10" s="27" t="s">
        <v>268</v>
      </c>
      <c r="M10" s="14"/>
      <c r="N10" s="70">
        <v>45</v>
      </c>
      <c r="O10" s="33" t="s">
        <v>188</v>
      </c>
      <c r="P10" s="27" t="s">
        <v>211</v>
      </c>
      <c r="Q10" s="14"/>
      <c r="R10" s="34">
        <v>7</v>
      </c>
      <c r="S10" s="71">
        <f>+R10*(R8+R9)</f>
        <v>7</v>
      </c>
      <c r="T10" s="72"/>
    </row>
    <row r="11" ht="15.75" spans="1:20">
      <c r="A11" s="73"/>
      <c r="B11" s="74"/>
      <c r="C11" s="74"/>
      <c r="D11" s="74"/>
      <c r="E11" s="74"/>
      <c r="F11" s="75"/>
      <c r="G11" s="67" t="s">
        <v>269</v>
      </c>
      <c r="H11" s="68"/>
      <c r="I11" s="68"/>
      <c r="J11" s="34" t="s">
        <v>106</v>
      </c>
      <c r="K11" s="30" t="s">
        <v>210</v>
      </c>
      <c r="L11" s="52">
        <v>0</v>
      </c>
      <c r="M11" s="76"/>
      <c r="N11" s="77"/>
      <c r="O11" s="78"/>
      <c r="P11" s="79" t="s">
        <v>214</v>
      </c>
      <c r="Q11" s="67"/>
      <c r="R11" s="80">
        <v>100</v>
      </c>
      <c r="S11" s="81" t="s">
        <v>216</v>
      </c>
      <c r="T11" s="82">
        <v>2</v>
      </c>
    </row>
    <row r="12" ht="19.5" spans="1:20">
      <c r="A12" s="83"/>
      <c r="B12" s="84"/>
      <c r="C12" s="84"/>
      <c r="D12" s="84"/>
      <c r="E12" s="84"/>
      <c r="F12" s="85"/>
      <c r="G12" s="86">
        <v>0</v>
      </c>
      <c r="H12" s="86"/>
      <c r="I12" s="86"/>
      <c r="J12" s="86"/>
      <c r="K12" s="86"/>
      <c r="L12" s="86"/>
      <c r="M12" s="86"/>
      <c r="N12" s="86"/>
      <c r="O12" s="86"/>
      <c r="P12" s="87" t="s">
        <v>219</v>
      </c>
      <c r="Q12" s="88">
        <f>+R49</f>
        <v>213.226931035849</v>
      </c>
      <c r="R12" s="89"/>
      <c r="S12" s="90" t="s">
        <v>217</v>
      </c>
      <c r="T12" s="35">
        <v>900</v>
      </c>
    </row>
    <row r="13" ht="19.5" spans="1:20">
      <c r="A13" s="83"/>
      <c r="B13" s="84"/>
      <c r="C13" s="84"/>
      <c r="D13" s="84"/>
      <c r="E13" s="84"/>
      <c r="F13" s="85"/>
      <c r="G13" s="86" t="s">
        <v>220</v>
      </c>
      <c r="H13" s="86"/>
      <c r="I13" s="86"/>
      <c r="J13" s="86"/>
      <c r="K13" s="91">
        <v>30</v>
      </c>
      <c r="L13" s="86" t="s">
        <v>221</v>
      </c>
      <c r="M13" s="92"/>
      <c r="N13" s="93">
        <f>INDEX(Tabla!$B$199:$B$202,MATCH(K13,Tabla!$A$199:$A$202,0))/100</f>
        <v>0.0416666666666667</v>
      </c>
      <c r="O13" s="94"/>
      <c r="P13" s="87" t="s">
        <v>219</v>
      </c>
      <c r="Q13" s="95">
        <f>+R50</f>
        <v>222.111386495676</v>
      </c>
      <c r="R13" s="96"/>
      <c r="S13" s="97">
        <f>+((Q13*J4)/1000)/J6</f>
        <v>12.4806358614555</v>
      </c>
      <c r="T13" s="98" t="s">
        <v>251</v>
      </c>
    </row>
    <row r="14" ht="15.75" spans="1:20">
      <c r="A14" s="9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</row>
    <row r="15" ht="30.75" spans="1:20">
      <c r="A15" s="102"/>
      <c r="B15" s="103" t="s">
        <v>222</v>
      </c>
      <c r="C15" s="104"/>
      <c r="D15" s="105"/>
      <c r="E15" s="102" t="s">
        <v>223</v>
      </c>
      <c r="F15" s="106" t="s">
        <v>224</v>
      </c>
      <c r="G15" s="107"/>
      <c r="H15" s="103" t="s">
        <v>225</v>
      </c>
      <c r="I15" s="105"/>
      <c r="J15" s="108" t="s">
        <v>226</v>
      </c>
      <c r="K15" s="102" t="s">
        <v>227</v>
      </c>
      <c r="L15" s="102" t="s">
        <v>227</v>
      </c>
      <c r="M15" s="106" t="s">
        <v>228</v>
      </c>
      <c r="N15" s="108"/>
      <c r="O15" s="106" t="s">
        <v>229</v>
      </c>
      <c r="P15" s="108"/>
      <c r="Q15" s="106" t="s">
        <v>271</v>
      </c>
      <c r="R15" s="108"/>
      <c r="S15" s="106" t="s">
        <v>230</v>
      </c>
      <c r="T15" s="108"/>
    </row>
    <row r="16" ht="15.75" spans="1:20">
      <c r="A16" s="109">
        <v>1</v>
      </c>
      <c r="B16" s="110" t="str">
        <f>+D4</f>
        <v>PolietilenoCristal</v>
      </c>
      <c r="C16" s="110"/>
      <c r="D16" s="110"/>
      <c r="E16" s="111">
        <f>+F4</f>
        <v>40</v>
      </c>
      <c r="F16" s="112">
        <f>(IF(B16=Tabla!$A$16,Tabla!$D$16,IF(B16=Tabla!$A$17,Tabla!$D$17,IF(B16=Tabla!$A$18,Tabla!$D$18,IF(B16=Tabla!$A$19,Tabla!$D$19,IF(B16=Tabla!$A$20,Tabla!$D$20,IF(B16=Tabla!$A$21,Tabla!$D$21,IF(B16=Tabla!$A$22,Tabla!$D$22,IF(B16=Tabla!$A$23,Tabla!$D$23,IF(B16=Tabla!$A$24,Tabla!$D$24,IF(B16=Tabla!$A$25,Tabla!$D$25,IF(B16=Tabla!$A$26,Tabla!$D$26,IF(B16=Tabla!$A$27,Tabla!$D$27,IF(B16=Tabla!$A$28,Tabla!$D$28,IF(B16=Tabla!$A$29,Tabla!$D$29,IF(B16=Tabla!$A$30,Tabla!$D$30,IF(B16=Tabla!$A$31,Tabla!$D$31,IF(B16=Tabla!$A$32,Tabla!$D$32,IF(B16=Tabla!$A$33,Tabla!$D$33)))))))))))))))))))*A16</f>
        <v>3.14356737388025</v>
      </c>
      <c r="G16" s="113"/>
      <c r="H16" s="114">
        <f>+J5+(1500*(R8+R9))</f>
        <v>20700</v>
      </c>
      <c r="I16" s="114"/>
      <c r="J16" s="115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(H16/1000)*((D10+J8)/100)*E16</f>
        <v>495.144</v>
      </c>
      <c r="K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(D10+J8)/100)</f>
        <v>23.92</v>
      </c>
      <c r="L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D9/100)</f>
        <v>22.816</v>
      </c>
      <c r="M16" s="117" t="s">
        <v>210</v>
      </c>
      <c r="N16" s="118">
        <f>((J16*F16)/(J5/1000))</f>
        <v>81.0686731131542</v>
      </c>
      <c r="O16" s="119" t="s">
        <v>210</v>
      </c>
      <c r="P16" s="120">
        <f>N16/(SUM(L16:L18))</f>
        <v>1.09327695966601</v>
      </c>
      <c r="Q16" s="119" t="s">
        <v>210</v>
      </c>
      <c r="R16" s="121">
        <f>IF(R6&gt;1,((+N16/(100/D3))/R6),+N16/(100/D3))</f>
        <v>19.456481547157</v>
      </c>
      <c r="S16" s="122">
        <f>(R16*100)/(Q12-R43-R44)</f>
        <v>15.1938929238439</v>
      </c>
      <c r="T16" s="123" t="s">
        <v>123</v>
      </c>
    </row>
    <row r="17" ht="15.75" spans="1:20">
      <c r="A17" s="109">
        <v>1</v>
      </c>
      <c r="B17" s="124" t="str">
        <f>+D5</f>
        <v>PolietilenoDpk</v>
      </c>
      <c r="C17" s="125"/>
      <c r="D17" s="30"/>
      <c r="E17" s="111">
        <f>+F5</f>
        <v>90</v>
      </c>
      <c r="F17" s="112">
        <f>(IF(B17=Tabla!$A$16,Tabla!$D$16,IF(B17=Tabla!$A$17,Tabla!$D$17,IF(B17=Tabla!$A$18,Tabla!$D$18,IF(B17=Tabla!$A$19,Tabla!$D$19,IF(B17=Tabla!$A$20,Tabla!$D$20,IF(B17=Tabla!$A$21,Tabla!$D$21,IF(B17=Tabla!$A$22,Tabla!$D$22,IF(B17=Tabla!$A$23,Tabla!$D$23,IF(B17=Tabla!$A$24,Tabla!$D$24,IF(B17=Tabla!$A$25,Tabla!$D$25,IF(B17=Tabla!$A$26,Tabla!$D$26,IF(B17=Tabla!$A$27,Tabla!$D$27,IF(B17=Tabla!$A$28,Tabla!$D$28,IF(B17=Tabla!$A$29,Tabla!$D$29,IF(B17=Tabla!$A$30,Tabla!$D$30,IF(B17=Tabla!$A$31,Tabla!$D$31,IF(B17=Tabla!$A$32,Tabla!$D$32,IF(B17=Tabla!$A$33,Tabla!$D$33)))))))))))))))))))*A17</f>
        <v>3.32356737388024</v>
      </c>
      <c r="G17" s="113"/>
      <c r="H17" s="126">
        <f>+J5+100</f>
        <v>19300</v>
      </c>
      <c r="I17" s="126"/>
      <c r="J17" s="115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(H17/1000)*((D10+J9)/100)*E17</f>
        <v>1038.726</v>
      </c>
      <c r="K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(D10+J8)/100)</f>
        <v>53.82</v>
      </c>
      <c r="L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D9/100)</f>
        <v>51.336</v>
      </c>
      <c r="M17" s="127" t="s">
        <v>210</v>
      </c>
      <c r="N17" s="128">
        <f>((J17*F17)/(J5/1000))</f>
        <v>179.806033541726</v>
      </c>
      <c r="O17" s="119" t="s">
        <v>210</v>
      </c>
      <c r="P17" s="120">
        <f>N17/(SUM(L16:L18))</f>
        <v>2.42483053109458</v>
      </c>
      <c r="Q17" s="119" t="s">
        <v>210</v>
      </c>
      <c r="R17" s="121">
        <f>IF(R6&gt;1,((+N17/(100/D3))/R6),+N17/(100/D3))</f>
        <v>43.1534480500141</v>
      </c>
      <c r="S17" s="122">
        <f>(R17*100)/(Q12-R43-R44)</f>
        <v>33.6992517057835</v>
      </c>
      <c r="T17" s="123" t="s">
        <v>123</v>
      </c>
    </row>
    <row r="18" ht="15.75" spans="1:20">
      <c r="A18" s="109">
        <v>1</v>
      </c>
      <c r="B18" s="110" t="str">
        <f>+D6</f>
        <v>Otro</v>
      </c>
      <c r="C18" s="110"/>
      <c r="D18" s="110"/>
      <c r="E18" s="111">
        <f>+F6</f>
        <v>0</v>
      </c>
      <c r="F18" s="112">
        <f>(IF(B18=Tabla!$A$16,Tabla!$D$16,IF(B18=Tabla!$A$17,Tabla!$D$17,IF(B18=Tabla!$A$18,Tabla!$D$18,IF(B18=Tabla!$A$19,Tabla!$D$19,IF(B18=Tabla!$A$20,Tabla!$D$20,IF(B18=Tabla!$A$21,Tabla!$D$21,IF(B18=Tabla!$A$22,Tabla!$D$22,IF(B18=Tabla!$A$23,Tabla!$D$23,IF(B18=Tabla!$A$24,Tabla!$D$24,IF(B18=Tabla!$A$25,Tabla!$D$25,IF(B18=Tabla!$A$26,Tabla!$D$26,IF(B18=Tabla!$A$27,Tabla!$D$27,IF(B18=Tabla!$A$28,Tabla!$D$28,IF(B18=Tabla!$A$29,Tabla!$D$29,IF(B18=Tabla!$A$30,Tabla!$D$30,IF(B18=Tabla!$A$31,Tabla!$D$31,IF(B18=Tabla!$A$32,Tabla!$D$32,IF(B18=Tabla!$A$33,Tabla!$D$33)))))))))))))))))))*A18</f>
        <v>0</v>
      </c>
      <c r="G18" s="113"/>
      <c r="H18" s="126">
        <f>+J5+100</f>
        <v>19300</v>
      </c>
      <c r="I18" s="126"/>
      <c r="J18" s="115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(H18/1000)*((D10+J10)/100)*E18</f>
        <v>0</v>
      </c>
      <c r="K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(D10+J8)/100)</f>
        <v>0</v>
      </c>
      <c r="L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D9/100)</f>
        <v>0</v>
      </c>
      <c r="M18" s="127" t="s">
        <v>210</v>
      </c>
      <c r="N18" s="128">
        <f>((J18*F18)/(J5/1000))</f>
        <v>0</v>
      </c>
      <c r="O18" s="119" t="s">
        <v>210</v>
      </c>
      <c r="P18" s="120">
        <f>N18/(SUM(L16:L18))</f>
        <v>0</v>
      </c>
      <c r="Q18" s="119" t="s">
        <v>210</v>
      </c>
      <c r="R18" s="121">
        <f>IF(R6&gt;1,((+N18/(100/D3))/R6),+N18/(100/D3))</f>
        <v>0</v>
      </c>
      <c r="S18" s="122">
        <f>(R18*100)/(Q12-R43-R44)</f>
        <v>0</v>
      </c>
      <c r="T18" s="123" t="s">
        <v>123</v>
      </c>
    </row>
    <row r="19" spans="1:20">
      <c r="A19" s="129">
        <f>IF(D7="SI",1,0)</f>
        <v>1</v>
      </c>
      <c r="B19" s="130" t="s">
        <v>231</v>
      </c>
      <c r="C19" s="131"/>
      <c r="D19" s="132"/>
      <c r="E19" s="133" t="s">
        <v>232</v>
      </c>
      <c r="F19" s="133" t="s">
        <v>233</v>
      </c>
      <c r="G19" s="133" t="s">
        <v>232</v>
      </c>
      <c r="H19" s="134" t="s">
        <v>272</v>
      </c>
      <c r="I19" s="135"/>
      <c r="J19" s="133" t="s">
        <v>234</v>
      </c>
      <c r="K19" s="133"/>
      <c r="L19" s="136"/>
      <c r="M19" s="137"/>
      <c r="N19" s="138"/>
      <c r="O19" s="139"/>
      <c r="P19" s="140"/>
      <c r="Q19" s="139"/>
      <c r="R19" s="141"/>
      <c r="S19" s="122"/>
      <c r="T19" s="123"/>
    </row>
    <row r="20" spans="1:20">
      <c r="A20" s="129">
        <f>IF(F7="SI",1,0)</f>
        <v>0</v>
      </c>
      <c r="B20" s="130" t="s">
        <v>235</v>
      </c>
      <c r="C20" s="131"/>
      <c r="D20" s="132"/>
      <c r="E20" s="142">
        <f>(Tabla!$D$5*R8+1*R9)*A19</f>
        <v>1.5</v>
      </c>
      <c r="F20" s="143">
        <f>(+J5/20000)*A19</f>
        <v>0.96</v>
      </c>
      <c r="G20" s="142">
        <f>(Tabla!$D$5/3)*A20</f>
        <v>0</v>
      </c>
      <c r="H20" s="46">
        <f>(J5/20000)*A20</f>
        <v>0</v>
      </c>
      <c r="I20" s="47"/>
      <c r="J20" s="144" t="s">
        <v>210</v>
      </c>
      <c r="K20" s="145">
        <f>+Tabla!$B$5</f>
        <v>58.46</v>
      </c>
      <c r="L20" s="146"/>
      <c r="M20" s="127" t="s">
        <v>210</v>
      </c>
      <c r="N20" s="128">
        <f>((E20+F20+G20+H20)*K20)/(J5/1000)*A19</f>
        <v>7.4901875</v>
      </c>
      <c r="O20" s="119" t="s">
        <v>210</v>
      </c>
      <c r="P20" s="120">
        <f>N20/(SUM(L16:L18))</f>
        <v>0.101011267396699</v>
      </c>
      <c r="Q20" s="119" t="s">
        <v>210</v>
      </c>
      <c r="R20" s="121">
        <f>IF(R6&gt;1,((+N20/(100/D3))/R6),+N20/(100/D3))</f>
        <v>1.797645</v>
      </c>
      <c r="S20" s="122">
        <f>(R20*100)/(Q12-R43-R44)</f>
        <v>1.40381114534423</v>
      </c>
      <c r="T20" s="123" t="s">
        <v>123</v>
      </c>
    </row>
    <row r="21" spans="1:20">
      <c r="A21" s="129">
        <f>IF(D7="SI",1,0)</f>
        <v>1</v>
      </c>
      <c r="B21" s="147" t="s">
        <v>32</v>
      </c>
      <c r="C21" s="148"/>
      <c r="D21" s="149"/>
      <c r="E21" s="44"/>
      <c r="F21" s="44"/>
      <c r="G21" s="44"/>
      <c r="H21" s="44"/>
      <c r="I21" s="150">
        <f>(+L21/S10)*A20</f>
        <v>0</v>
      </c>
      <c r="J21" s="151" t="s">
        <v>236</v>
      </c>
      <c r="K21" s="152"/>
      <c r="L21" s="150">
        <f>(IF(B21=Tabla!$A$79,((Tabla!$B$79/2300/46)*(D10+J8)*N9),1)*0.75)</f>
        <v>9.92785916824197</v>
      </c>
      <c r="M21" s="127"/>
      <c r="N21" s="128"/>
      <c r="O21" s="119" t="s">
        <v>210</v>
      </c>
      <c r="P21" s="120">
        <f>((I21+L21*S10)/J6)*A21</f>
        <v>0.0488123312711936</v>
      </c>
      <c r="Q21" s="119" t="s">
        <v>210</v>
      </c>
      <c r="R21" s="153">
        <f>IF(R6&gt;1,((((I21+L21*R10)/(J4/1000)*A21))/R6),((I21+L21*R10)/(J4/1000)*A21))</f>
        <v>0.868687677221172</v>
      </c>
      <c r="S21" s="122">
        <f>(R21*100)/(Q12-R43-R44)</f>
        <v>0.678372783895749</v>
      </c>
      <c r="T21" s="123" t="s">
        <v>123</v>
      </c>
    </row>
    <row r="22" spans="1:20">
      <c r="A22" s="129">
        <f>IF(D7="SI",1,0)</f>
        <v>1</v>
      </c>
      <c r="B22" s="147" t="s">
        <v>237</v>
      </c>
      <c r="C22" s="148"/>
      <c r="D22" s="149"/>
      <c r="E22" s="44"/>
      <c r="F22" s="44"/>
      <c r="G22" s="44"/>
      <c r="H22" s="44"/>
      <c r="I22" s="150">
        <f>(((Tabla!$B$90*0.8)+(Tabla!$B$93*0.2))/1000*2)*A20</f>
        <v>0</v>
      </c>
      <c r="J22" s="151" t="s">
        <v>238</v>
      </c>
      <c r="K22" s="152"/>
      <c r="L22" s="150">
        <f>(((((Tabla!$J$116-Tabla!$E$116)/1000*2)+((Tabla!$E$116/1000*2)*S9)/100)*R11)/100)+I22</f>
        <v>0.0307111232064</v>
      </c>
      <c r="M22" s="127" t="s">
        <v>210</v>
      </c>
      <c r="N22" s="128">
        <f>(L22*((D10+J8)*10)*A22)*(R10/8)</f>
        <v>17.46695132364</v>
      </c>
      <c r="O22" s="119" t="s">
        <v>210</v>
      </c>
      <c r="P22" s="120">
        <f>N22/(SUM(L16:L18))</f>
        <v>0.235556037917251</v>
      </c>
      <c r="Q22" s="119" t="s">
        <v>210</v>
      </c>
      <c r="R22" s="121">
        <f>IF(R6&gt;1,((+N22/(100/D3))/R6),+N22/(100/D3))</f>
        <v>4.1920683176736</v>
      </c>
      <c r="S22" s="122">
        <f>(R22*100)/(Q12-R43-R44)</f>
        <v>3.27365649301983</v>
      </c>
      <c r="T22" s="123" t="s">
        <v>123</v>
      </c>
    </row>
    <row r="23" spans="1:20">
      <c r="A23" s="129">
        <f>IF(D7="SI",1,0)</f>
        <v>1</v>
      </c>
      <c r="B23" s="147" t="s">
        <v>239</v>
      </c>
      <c r="C23" s="148"/>
      <c r="D23" s="149"/>
      <c r="E23" s="71">
        <f>IF(J5&gt;240000,120,IF(J5&gt;210000,96,IF(J5&gt;180000,72,IF(J5&gt;150000,64,IF(J5&gt;120000,48,IF(J5&gt;60000,24,IF(J5&gt;30000,16,12)))))))</f>
        <v>12</v>
      </c>
      <c r="G23" s="44"/>
      <c r="H23" s="44"/>
      <c r="I23" s="154"/>
      <c r="J23" s="151" t="s">
        <v>240</v>
      </c>
      <c r="K23" s="152"/>
      <c r="L23" s="150">
        <f>+Tabla!$B$99</f>
        <v>1.25</v>
      </c>
      <c r="M23" s="127" t="s">
        <v>210</v>
      </c>
      <c r="N23" s="155">
        <f>(+L23*E23/J5*1000)*A23</f>
        <v>0.78125</v>
      </c>
      <c r="O23" s="119" t="s">
        <v>210</v>
      </c>
      <c r="P23" s="120">
        <f>N23/(SUM(L16:L18))</f>
        <v>0.0105357913475024</v>
      </c>
      <c r="Q23" s="119" t="s">
        <v>210</v>
      </c>
      <c r="R23" s="121">
        <f>IF(R6&gt;1,((+N23/(100/D3))/R6),+N23/(100/D3))</f>
        <v>0.1875</v>
      </c>
      <c r="S23" s="122">
        <f>(R23*100)/(Q12-R43-R44)</f>
        <v>0.146421896287667</v>
      </c>
      <c r="T23" s="123" t="s">
        <v>123</v>
      </c>
    </row>
    <row r="24" spans="1:20">
      <c r="A24" s="129">
        <f>IF(J7="SI",1,IF(J7="BI",2,0))</f>
        <v>1</v>
      </c>
      <c r="B24" s="156" t="s">
        <v>241</v>
      </c>
      <c r="C24" s="157"/>
      <c r="D24" s="66"/>
      <c r="E24" s="71">
        <f>+Tabla!$D$6*(A24+A26)</f>
        <v>0.5</v>
      </c>
      <c r="F24" s="158">
        <f>+J5/Tabla!$C$6*(A25+A26)</f>
        <v>1.2</v>
      </c>
      <c r="G24" s="44"/>
      <c r="H24" s="44"/>
      <c r="I24" s="154"/>
      <c r="J24" s="159" t="s">
        <v>210</v>
      </c>
      <c r="K24" s="160">
        <f>+Tabla!$B$6</f>
        <v>41.35</v>
      </c>
      <c r="L24" s="154"/>
      <c r="M24" s="127" t="s">
        <v>210</v>
      </c>
      <c r="N24" s="128">
        <f>((E24+F24)*K24)/(J5/1000)</f>
        <v>3.66119791666667</v>
      </c>
      <c r="O24" s="119" t="s">
        <v>210</v>
      </c>
      <c r="P24" s="120">
        <f>N24/(SUM(L16:L18))</f>
        <v>0.0493742301848455</v>
      </c>
      <c r="Q24" s="119" t="s">
        <v>210</v>
      </c>
      <c r="R24" s="121">
        <f>IF(R6&gt;1,((+N24/(100/D3))/R6),+N24/(100/D3))</f>
        <v>0.8786875</v>
      </c>
      <c r="S24" s="122">
        <f>(R24*100)/(Q12-R43-R44)</f>
        <v>0.686181813302771</v>
      </c>
      <c r="T24" s="123" t="s">
        <v>123</v>
      </c>
    </row>
    <row r="25" spans="1:20">
      <c r="A25" s="129">
        <f>IF(J7="SI",1,IF(J7="BI",2,0))</f>
        <v>1</v>
      </c>
      <c r="B25" s="161" t="s">
        <v>242</v>
      </c>
      <c r="C25" s="162"/>
      <c r="D25" s="163"/>
      <c r="E25" s="44"/>
      <c r="F25" s="44"/>
      <c r="G25" s="44"/>
      <c r="H25" s="44"/>
      <c r="I25" s="154"/>
      <c r="J25" s="151" t="s">
        <v>238</v>
      </c>
      <c r="K25" s="152"/>
      <c r="L25" s="150">
        <f>IF(J7="SI",+(((Tabla!$B$123/1000*Tabla!$C$123)+(Tabla!$B$124/1000*Tabla!C350))*Tabla!$B$122)*A25,IF(J7="BI",+(((Tabla!$B$123/1000*Tabla!$C$123)+(Tabla!$B$124/1000*Tabla!C350))*Tabla!$B$122)*A25,0))</f>
        <v>0.012474</v>
      </c>
      <c r="M25" s="127" t="s">
        <v>210</v>
      </c>
      <c r="N25" s="128">
        <f>L25*((D10+J9+J10)*10)</f>
        <v>8.1081</v>
      </c>
      <c r="O25" s="119" t="s">
        <v>210</v>
      </c>
      <c r="P25" s="120">
        <f>N25/(SUM(L16:L18))</f>
        <v>0.109344319775596</v>
      </c>
      <c r="Q25" s="119" t="s">
        <v>210</v>
      </c>
      <c r="R25" s="121">
        <f>IF(R6&gt;1,((+N25/(100/D3))/R6),+N25/(100/D3))</f>
        <v>1.945944</v>
      </c>
      <c r="S25" s="122">
        <f>(R25*100)/(Q12-R43-R44)</f>
        <v>1.51962032293124</v>
      </c>
      <c r="T25" s="123" t="s">
        <v>123</v>
      </c>
    </row>
    <row r="26" spans="1:20">
      <c r="A26" s="129">
        <f>IF(N7="SI",1,IF(N7="BI",2,0))</f>
        <v>0</v>
      </c>
      <c r="B26" s="161" t="s">
        <v>243</v>
      </c>
      <c r="C26" s="162"/>
      <c r="D26" s="163"/>
      <c r="E26" s="44"/>
      <c r="F26" s="44"/>
      <c r="G26" s="44"/>
      <c r="H26" s="44"/>
      <c r="I26" s="154"/>
      <c r="J26" s="151" t="s">
        <v>238</v>
      </c>
      <c r="K26" s="152"/>
      <c r="L26" s="150">
        <f>IF(N7="SI",+((Tabla!$B$127/1000)*Tabla!$B$126)*A26,IF(N7="BI",+((Tabla!$B$127/1000)*Tabla!$B$126)*A26,0))</f>
        <v>0</v>
      </c>
      <c r="M26" s="127" t="s">
        <v>210</v>
      </c>
      <c r="N26" s="128">
        <f>L26*(D10*10)</f>
        <v>0</v>
      </c>
      <c r="O26" s="119" t="s">
        <v>210</v>
      </c>
      <c r="P26" s="120">
        <f>N26/(SUM(L16:L18))</f>
        <v>0</v>
      </c>
      <c r="Q26" s="119" t="s">
        <v>210</v>
      </c>
      <c r="R26" s="121">
        <f>IF(R6&gt;1,((+N26/(100/D3))/R6),+N26/(100/D3))</f>
        <v>0</v>
      </c>
      <c r="S26" s="122">
        <f>(R26*100)/(Q12-R43-R44)</f>
        <v>0</v>
      </c>
      <c r="T26" s="123" t="s">
        <v>123</v>
      </c>
    </row>
    <row r="27" spans="1:20">
      <c r="A27" s="164"/>
      <c r="B27" s="165" t="s">
        <v>244</v>
      </c>
      <c r="C27" s="166"/>
      <c r="D27" s="167"/>
      <c r="E27" s="71">
        <f>+Tabla!$D$7</f>
        <v>0</v>
      </c>
      <c r="F27" s="158">
        <f>+J5/Tabla!$C$7</f>
        <v>2.4</v>
      </c>
      <c r="G27" s="44"/>
      <c r="H27" s="44"/>
      <c r="I27" s="154"/>
      <c r="J27" s="159" t="s">
        <v>210</v>
      </c>
      <c r="K27" s="160">
        <f>+Tabla!$B$7</f>
        <v>39.54</v>
      </c>
      <c r="L27" s="168"/>
      <c r="M27" s="127" t="s">
        <v>210</v>
      </c>
      <c r="N27" s="128">
        <f>((E27+F27)*K27)/(J5/1000)</f>
        <v>4.9425</v>
      </c>
      <c r="O27" s="119" t="s">
        <v>210</v>
      </c>
      <c r="P27" s="120">
        <f>N27/(SUM(L16:L18))</f>
        <v>0.0666536303808394</v>
      </c>
      <c r="Q27" s="119" t="s">
        <v>210</v>
      </c>
      <c r="R27" s="121">
        <f>IF(R6&gt;1,((+N27/(100/D3))/R6),+N27/(100/D3))</f>
        <v>1.1862</v>
      </c>
      <c r="S27" s="122">
        <f>(R27*100)/(Q12-R43-R44)</f>
        <v>0.926323484674297</v>
      </c>
      <c r="T27" s="123" t="s">
        <v>123</v>
      </c>
    </row>
    <row r="28" spans="1:20">
      <c r="A28" s="169">
        <f>+Tabla!$E$7</f>
        <v>0.05</v>
      </c>
      <c r="B28" s="170" t="s">
        <v>245</v>
      </c>
      <c r="C28" s="171"/>
      <c r="D28" s="172"/>
      <c r="E28" s="44"/>
      <c r="F28" s="44"/>
      <c r="G28" s="44"/>
      <c r="H28" s="44"/>
      <c r="I28" s="154"/>
      <c r="J28" s="44"/>
      <c r="K28" s="44"/>
      <c r="L28" s="44"/>
      <c r="M28" s="119" t="s">
        <v>210</v>
      </c>
      <c r="N28" s="173">
        <f>((SUM(P16:P27))*A28)</f>
        <v>0.206969754951726</v>
      </c>
      <c r="O28" s="119" t="s">
        <v>210</v>
      </c>
      <c r="P28" s="173">
        <f>((SUM(P16:P27))*A28)</f>
        <v>0.206969754951726</v>
      </c>
      <c r="Q28" s="119" t="s">
        <v>210</v>
      </c>
      <c r="R28" s="121">
        <f>+N28/(100/D3)</f>
        <v>0.0496727411884143</v>
      </c>
      <c r="S28" s="122">
        <f>(R28*100)/(Q12-R43-R44)</f>
        <v>0.0387902771126087</v>
      </c>
      <c r="T28" s="123" t="s">
        <v>123</v>
      </c>
    </row>
    <row r="29" spans="1:20">
      <c r="A29" s="164"/>
      <c r="B29" s="174" t="s">
        <v>273</v>
      </c>
      <c r="C29" s="175"/>
      <c r="D29" s="176"/>
      <c r="E29" s="44"/>
      <c r="F29" s="44"/>
      <c r="G29" s="44"/>
      <c r="H29" s="44"/>
      <c r="I29" s="154"/>
      <c r="J29" s="154"/>
      <c r="K29" s="44"/>
      <c r="L29" s="44"/>
      <c r="M29" s="44"/>
      <c r="O29" s="177" t="s">
        <v>210</v>
      </c>
      <c r="P29" s="178">
        <f>SUM(P16:P28)</f>
        <v>4.34636485398625</v>
      </c>
      <c r="Q29" s="44"/>
      <c r="R29" s="154"/>
      <c r="S29" s="44"/>
      <c r="T29" s="179"/>
    </row>
    <row r="30" spans="1:20">
      <c r="A30" s="180">
        <f>IF(J3&gt;=38,Tabla!$E$155,IF(J3&gt;=25,Tabla!$E$150,IF(J3&gt;=18,Tabla!$E$147,IF(J3&gt;=15,Tabla!$E$144,Tabla!$E$139))))-(A31*Tabla!$G$139)</f>
        <v>30</v>
      </c>
      <c r="B30" s="130" t="s">
        <v>274</v>
      </c>
      <c r="C30" s="131"/>
      <c r="D30" s="132"/>
      <c r="E30" s="47">
        <v>1</v>
      </c>
      <c r="F30" s="158">
        <f>+J4/+(A30*60)</f>
        <v>44.4444444444444</v>
      </c>
      <c r="G30" s="44"/>
      <c r="H30" s="44"/>
      <c r="I30" s="154"/>
      <c r="J30" s="159" t="s">
        <v>210</v>
      </c>
      <c r="K30" s="160">
        <f>+Tabla!$B$8</f>
        <v>60.01</v>
      </c>
      <c r="L30" s="150">
        <f>+(((+E30+F30)*K30)/J4)*1000</f>
        <v>34.0890138888889</v>
      </c>
      <c r="M30" s="127" t="s">
        <v>210</v>
      </c>
      <c r="N30" s="128">
        <f>((E30+F30)*K30)/(J5/1000)</f>
        <v>142.03755787037</v>
      </c>
      <c r="O30" s="119" t="s">
        <v>210</v>
      </c>
      <c r="P30" s="120">
        <f>N30/(SUM(L16:L18))</f>
        <v>1.91549193373571</v>
      </c>
      <c r="Q30" s="139" t="s">
        <v>210</v>
      </c>
      <c r="R30" s="181">
        <f>+N30/(100/D3)</f>
        <v>34.0890138888889</v>
      </c>
      <c r="S30" s="122">
        <f>(R30*100)/(Q12-R43-R44)</f>
        <v>26.6206829663346</v>
      </c>
      <c r="T30" s="123" t="s">
        <v>123</v>
      </c>
    </row>
    <row r="31" spans="1:20">
      <c r="A31" s="129">
        <f>IF(S3="SI",1,0)</f>
        <v>0</v>
      </c>
      <c r="B31" s="170" t="s">
        <v>140</v>
      </c>
      <c r="C31" s="171"/>
      <c r="D31" s="172"/>
      <c r="E31" s="71" t="s">
        <v>5</v>
      </c>
      <c r="F31" s="126">
        <f>+Tabla!$F$8</f>
        <v>100</v>
      </c>
      <c r="G31" s="44"/>
      <c r="H31" s="44"/>
      <c r="I31" s="154"/>
      <c r="J31" s="44"/>
      <c r="K31" s="154"/>
      <c r="L31" s="154"/>
      <c r="M31" s="127" t="s">
        <v>210</v>
      </c>
      <c r="N31" s="128">
        <f>+Tabla!$B$132*(1000+F31)*A31</f>
        <v>0</v>
      </c>
      <c r="O31" s="119" t="s">
        <v>210</v>
      </c>
      <c r="P31" s="120">
        <f>N31/(SUM(L16:L18))</f>
        <v>0</v>
      </c>
      <c r="Q31" s="119" t="s">
        <v>210</v>
      </c>
      <c r="R31" s="181">
        <f>+N31/(100/D3)</f>
        <v>0</v>
      </c>
      <c r="S31" s="122">
        <f>(R31*100)/(Q12-R43-R44)</f>
        <v>0</v>
      </c>
      <c r="T31" s="123" t="s">
        <v>123</v>
      </c>
    </row>
    <row r="32" spans="1:20">
      <c r="A32" s="129">
        <f>IF(S4="SI",1,0)</f>
        <v>0</v>
      </c>
      <c r="B32" s="170" t="s">
        <v>10</v>
      </c>
      <c r="C32" s="171"/>
      <c r="D32" s="172"/>
      <c r="E32" s="71" t="s">
        <v>5</v>
      </c>
      <c r="F32" s="126">
        <f>+Tabla!$F$8</f>
        <v>100</v>
      </c>
      <c r="G32" s="44"/>
      <c r="H32" s="44"/>
      <c r="I32" s="154"/>
      <c r="J32" s="44"/>
      <c r="K32" s="154"/>
      <c r="L32" s="154"/>
      <c r="M32" s="127" t="s">
        <v>210</v>
      </c>
      <c r="N32" s="128">
        <f>+Tabla!$E$132*(1000+F32)*A32</f>
        <v>0</v>
      </c>
      <c r="O32" s="119" t="s">
        <v>210</v>
      </c>
      <c r="P32" s="120">
        <f>N32/(SUM(L16:L18))</f>
        <v>0</v>
      </c>
      <c r="Q32" s="119" t="s">
        <v>210</v>
      </c>
      <c r="R32" s="182">
        <f>+Tabla!$E$132*(1000+F32)*A32</f>
        <v>0</v>
      </c>
      <c r="S32" s="122">
        <f>(R32*100)/(Q12-R43-R44)</f>
        <v>0</v>
      </c>
      <c r="T32" s="123" t="s">
        <v>123</v>
      </c>
    </row>
    <row r="33" spans="1:20">
      <c r="A33" s="169">
        <f>+Tabla!$E$8</f>
        <v>0.15</v>
      </c>
      <c r="B33" s="170" t="s">
        <v>275</v>
      </c>
      <c r="C33" s="171"/>
      <c r="D33" s="172"/>
      <c r="E33" s="44"/>
      <c r="F33" s="44"/>
      <c r="G33" s="44"/>
      <c r="H33" s="44"/>
      <c r="I33" s="154"/>
      <c r="J33" s="44"/>
      <c r="K33" s="154"/>
      <c r="L33" s="154"/>
      <c r="M33" s="127" t="s">
        <v>210</v>
      </c>
      <c r="N33" s="128">
        <f>+(P29*A33)/(100000/J3)*1000</f>
        <v>0.352055553172886</v>
      </c>
      <c r="O33" s="119" t="s">
        <v>210</v>
      </c>
      <c r="P33" s="120">
        <f>N33/(SUM(L16:L18))</f>
        <v>0.00474775532922762</v>
      </c>
      <c r="Q33" s="119" t="s">
        <v>210</v>
      </c>
      <c r="R33" s="121">
        <f>SUM(R16:R31)*A33</f>
        <v>16.1708023083215</v>
      </c>
      <c r="S33" s="122">
        <f>(R33*100)/(Q12-R43-R44)</f>
        <v>12.6280508718796</v>
      </c>
      <c r="T33" s="123" t="s">
        <v>123</v>
      </c>
    </row>
    <row r="34" spans="1:20">
      <c r="A34" s="180">
        <f>+Tabla!$C$10</f>
        <v>20</v>
      </c>
      <c r="B34" s="130" t="s">
        <v>276</v>
      </c>
      <c r="C34" s="131"/>
      <c r="D34" s="132"/>
      <c r="E34" s="47">
        <f>+Tabla!$D$10</f>
        <v>0.5</v>
      </c>
      <c r="F34" s="158">
        <f>+J4/+(A34*60)</f>
        <v>66.6666666666667</v>
      </c>
      <c r="G34" s="44"/>
      <c r="H34" s="44"/>
      <c r="I34" s="154"/>
      <c r="J34" s="159" t="s">
        <v>210</v>
      </c>
      <c r="K34" s="160">
        <f>+Tabla!$B$10</f>
        <v>20.0033333333333</v>
      </c>
      <c r="L34" s="150">
        <f>+(((+E34+F34)*K34)/J4)*1000</f>
        <v>16.7944652777778</v>
      </c>
      <c r="M34" s="127" t="s">
        <v>210</v>
      </c>
      <c r="N34" s="128">
        <f>((E34+F34)*K34)/(J5/1000)</f>
        <v>69.9769386574074</v>
      </c>
      <c r="O34" s="183" t="s">
        <v>210</v>
      </c>
      <c r="P34" s="184">
        <f>N34/(SUM(L16:L18))</f>
        <v>0.943695903784219</v>
      </c>
      <c r="Q34" s="139" t="s">
        <v>210</v>
      </c>
      <c r="R34" s="181">
        <f>+N34/(100/D3)*A35</f>
        <v>0</v>
      </c>
      <c r="S34" s="122">
        <f>(R34*100)/(Q12-R43-R44)</f>
        <v>0</v>
      </c>
      <c r="T34" s="123" t="s">
        <v>123</v>
      </c>
    </row>
    <row r="35" spans="1:20">
      <c r="A35" s="129">
        <f>IF(S5="SI",1,0)</f>
        <v>0</v>
      </c>
      <c r="B35" s="170" t="s">
        <v>277</v>
      </c>
      <c r="C35" s="171"/>
      <c r="D35" s="172"/>
      <c r="E35" s="71" t="s">
        <v>5</v>
      </c>
      <c r="F35" s="126">
        <f>+Tabla!$F$10</f>
        <v>100</v>
      </c>
      <c r="G35" s="44"/>
      <c r="H35" s="44"/>
      <c r="I35" s="154"/>
      <c r="J35" s="44"/>
      <c r="K35" s="154"/>
      <c r="L35" s="154"/>
      <c r="M35" s="127" t="s">
        <v>210</v>
      </c>
      <c r="N35" s="128">
        <f>+Tabla!$E$133*(1000+F35)*A35</f>
        <v>0</v>
      </c>
      <c r="O35" s="183" t="s">
        <v>210</v>
      </c>
      <c r="P35" s="184">
        <f>N35/(SUM(L16:L18))</f>
        <v>0</v>
      </c>
      <c r="Q35" s="119" t="s">
        <v>210</v>
      </c>
      <c r="R35" s="182">
        <f>+Tabla!$E$133*(1000+F35)*A35</f>
        <v>0</v>
      </c>
      <c r="S35" s="122">
        <f>(R35*100)/(Q12-R43-R44)</f>
        <v>0</v>
      </c>
      <c r="T35" s="123" t="s">
        <v>123</v>
      </c>
    </row>
    <row r="36" spans="1:20">
      <c r="A36" s="169">
        <f>+Tabla!$E$10</f>
        <v>0.05</v>
      </c>
      <c r="B36" s="170" t="s">
        <v>278</v>
      </c>
      <c r="C36" s="171"/>
      <c r="D36" s="172"/>
      <c r="E36" s="44"/>
      <c r="F36" s="44"/>
      <c r="G36" s="44"/>
      <c r="H36" s="44"/>
      <c r="I36" s="154"/>
      <c r="J36" s="44"/>
      <c r="K36" s="154"/>
      <c r="L36" s="154"/>
      <c r="M36" s="127" t="s">
        <v>210</v>
      </c>
      <c r="N36" s="128">
        <f>+(P29*A36)/(100000/J3)*1000</f>
        <v>0.117351851057629</v>
      </c>
      <c r="O36" s="183" t="s">
        <v>210</v>
      </c>
      <c r="P36" s="184">
        <f>N36/(SUM(L16:L18))</f>
        <v>0.00158258510974254</v>
      </c>
      <c r="Q36" s="119" t="s">
        <v>210</v>
      </c>
      <c r="R36" s="121">
        <f>SUM(R16:R35)*A36*A35</f>
        <v>0</v>
      </c>
      <c r="S36" s="122">
        <f>(R36*100)/(Q12-R43-R44)</f>
        <v>0</v>
      </c>
      <c r="T36" s="123" t="s">
        <v>123</v>
      </c>
    </row>
    <row r="37" spans="1:20">
      <c r="A37" s="180">
        <f>IF(J3&gt;22.1,400,IF(J3&gt;=15,1000,IF(J3&gt;=12,1500,2000)))</f>
        <v>400</v>
      </c>
      <c r="B37" s="170" t="s">
        <v>279</v>
      </c>
      <c r="C37" s="171"/>
      <c r="D37" s="185"/>
      <c r="E37" s="44"/>
      <c r="F37" s="44"/>
      <c r="G37" s="44"/>
      <c r="H37" s="44"/>
      <c r="I37" s="154"/>
      <c r="J37" s="44"/>
      <c r="K37" s="154"/>
      <c r="L37" s="154"/>
      <c r="M37" s="127" t="s">
        <v>210</v>
      </c>
      <c r="N37" s="128">
        <f>+Tabla!$B$133/A37*1000</f>
        <v>0.941105610561056</v>
      </c>
      <c r="O37" s="183" t="s">
        <v>210</v>
      </c>
      <c r="P37" s="184">
        <f>N37/(SUM(L16:L18))</f>
        <v>0.012691574206509</v>
      </c>
      <c r="Q37" s="119" t="s">
        <v>210</v>
      </c>
      <c r="R37" s="121">
        <f>1000/A37*N37</f>
        <v>2.35276402640264</v>
      </c>
      <c r="S37" s="122">
        <f>(R37*100)/(Q12-R43-R44)</f>
        <v>1.83731290807083</v>
      </c>
      <c r="T37" s="123" t="s">
        <v>123</v>
      </c>
    </row>
    <row r="38" spans="1:20">
      <c r="A38" s="129">
        <f>+T11</f>
        <v>2</v>
      </c>
      <c r="B38" s="124" t="s">
        <v>216</v>
      </c>
      <c r="C38" s="30"/>
      <c r="D38" s="46" t="str">
        <f>+S12</f>
        <v>Caba</v>
      </c>
      <c r="E38" s="186">
        <f>+T12</f>
        <v>900</v>
      </c>
      <c r="F38" s="158">
        <f>INDEX(Tabla!$B$162:$E$187,MATCH(S12,Tabla!$A$162:$A$187,0),MATCH(T12,Tabla!$B$161:$E$161,0))*A38</f>
        <v>114.364356435644</v>
      </c>
      <c r="G38" s="44"/>
      <c r="H38" s="44"/>
      <c r="I38" s="44"/>
      <c r="J38" s="154"/>
      <c r="K38" s="154"/>
      <c r="L38" s="154"/>
      <c r="M38" s="44"/>
      <c r="N38" s="44"/>
      <c r="O38" s="139" t="s">
        <v>210</v>
      </c>
      <c r="P38" s="187">
        <f>F38/(SUM(J6))</f>
        <v>0.0803279331331558</v>
      </c>
      <c r="Q38" s="119" t="s">
        <v>210</v>
      </c>
      <c r="R38" s="121">
        <f>+J6*P38/J4*1000</f>
        <v>1.42955445544554</v>
      </c>
      <c r="S38" s="122">
        <f>(R38*100)/(Q12-R43-R44)</f>
        <v>1.11636306246837</v>
      </c>
      <c r="T38" s="123" t="s">
        <v>123</v>
      </c>
    </row>
    <row r="39" spans="1:20">
      <c r="A39" s="129">
        <f>IF(J11="SI",1,0)</f>
        <v>0</v>
      </c>
      <c r="B39" s="156" t="s">
        <v>269</v>
      </c>
      <c r="C39" s="157"/>
      <c r="D39" s="66"/>
      <c r="E39" s="44"/>
      <c r="F39" s="44"/>
      <c r="G39" s="44"/>
      <c r="H39" s="44"/>
      <c r="I39" s="154"/>
      <c r="J39" s="154"/>
      <c r="K39" s="44"/>
      <c r="L39" s="44"/>
      <c r="M39" s="44"/>
      <c r="N39" s="44"/>
      <c r="O39" s="183" t="s">
        <v>210</v>
      </c>
      <c r="P39" s="184">
        <f>(+L11/J6)*A39</f>
        <v>0</v>
      </c>
      <c r="Q39" s="119" t="s">
        <v>210</v>
      </c>
      <c r="R39" s="121">
        <f>(+L11/J4)*A39</f>
        <v>0</v>
      </c>
      <c r="S39" s="122">
        <f>(R39*100)/(Q12-R43-R44)</f>
        <v>0</v>
      </c>
      <c r="T39" s="123" t="s">
        <v>123</v>
      </c>
    </row>
    <row r="40" spans="1:20">
      <c r="A40" s="188"/>
      <c r="B40" s="174" t="s">
        <v>280</v>
      </c>
      <c r="C40" s="175"/>
      <c r="D40" s="176"/>
      <c r="E40" s="44"/>
      <c r="F40" s="44"/>
      <c r="G40" s="44"/>
      <c r="H40" s="44"/>
      <c r="I40" s="154"/>
      <c r="J40" s="44"/>
      <c r="K40" s="154"/>
      <c r="L40" s="154"/>
      <c r="M40" s="44"/>
      <c r="N40" s="44"/>
      <c r="O40" s="189" t="s">
        <v>210</v>
      </c>
      <c r="P40" s="178">
        <f>SUM(P30:P39)</f>
        <v>2.95853768529856</v>
      </c>
      <c r="Q40" s="119"/>
      <c r="R40" s="181"/>
      <c r="S40" s="190">
        <f>(SUM(R20,R24,R27,R30)+SUM(A42:A44)+E43)/100</f>
        <v>0.779515463888889</v>
      </c>
      <c r="T40" s="191" t="s">
        <v>281</v>
      </c>
    </row>
    <row r="41" ht="15.75" spans="1:20">
      <c r="A41" s="192" t="s">
        <v>246</v>
      </c>
      <c r="B41" s="193"/>
      <c r="C41" s="193"/>
      <c r="D41" s="193"/>
      <c r="E41" s="193"/>
      <c r="F41" s="193"/>
      <c r="G41" s="193"/>
      <c r="H41" s="193"/>
      <c r="I41" s="193"/>
      <c r="J41" s="194"/>
      <c r="K41" s="195" t="s">
        <v>247</v>
      </c>
      <c r="L41" s="196" t="s">
        <v>248</v>
      </c>
      <c r="M41" s="197"/>
      <c r="N41" s="198"/>
      <c r="O41" s="199" t="s">
        <v>210</v>
      </c>
      <c r="P41" s="200">
        <f>+P40+P29</f>
        <v>7.30490253928481</v>
      </c>
      <c r="Q41" s="199" t="s">
        <v>210</v>
      </c>
      <c r="R41" s="201">
        <f>SUM(R16:R39)+(R45*A45)</f>
        <v>127.758469512313</v>
      </c>
      <c r="S41" s="202" t="s">
        <v>282</v>
      </c>
      <c r="T41" s="203"/>
    </row>
    <row r="42" spans="1:20">
      <c r="A42" s="204">
        <f>IF(AND(J3&lt;=18,J6&lt;=Tabla!$B$217),Tabla!$B$218,IF(AND(J3&lt;=18,J6&lt;=Tabla!$C$217),Tabla!$C$218,IF(AND(J3&lt;=18,J6&lt;=Tabla!$D$217),Tabla!$D$218,IF(AND(J3&lt;=18,J6&lt;=Tabla!$E$217),Tabla!$E$218,IF(AND(J3&lt;=18,J6&lt;=Tabla!$F$217),Tabla!$F$218,IF(AND(J3&lt;=18,J6&lt;=Tabla!$G$217),Tabla!$G$218,IF(AND(J3&lt;=18,J6&lt;=Tabla!$H$217),Tabla!$H$218,IF(AND(J3&lt;=18,J6&lt;=Tabla!$I$217),Tabla!$I$218,IF(AND(J3&gt;=18,J6&lt;=Tabla!$B$217),Tabla!$B$220,IF(AND(J3&gt;=18,J6&lt;=Tabla!$C$217),Tabla!$C$220,IF(AND(J3&gt;=18,J6&lt;=Tabla!$D$217),Tabla!$D$220,IF(AND(J3&gt;=18,J6&lt;=Tabla!$E$217),Tabla!$E$220,IF(AND(J3&gt;=18,J6&lt;=Tabla!$F$217),Tabla!$F$220,IF(AND(J3&gt;=18,J6&lt;=Tabla!$G$217),Tabla!$G$220,IF(AND(J3&gt;=18,J6&lt;=Tabla!$H$217),Tabla!$H$220,Tabla!$I$220)))))))))))))))</f>
        <v>38</v>
      </c>
      <c r="B42" s="205" t="s">
        <v>250</v>
      </c>
      <c r="C42" s="206" t="s">
        <v>161</v>
      </c>
      <c r="D42" s="207"/>
      <c r="E42" s="208" t="str">
        <f>+K1</f>
        <v>A</v>
      </c>
      <c r="F42" s="144" t="s">
        <v>210</v>
      </c>
      <c r="G42" s="209">
        <f>+I42*J6</f>
        <v>6473.09578862385</v>
      </c>
      <c r="H42" s="210"/>
      <c r="I42" s="211">
        <f>+((((R42*J4)/1000)/J6))</f>
        <v>4.54661244008917</v>
      </c>
      <c r="J42" s="212" t="s">
        <v>251</v>
      </c>
      <c r="K42" s="213">
        <f>+((((T44*J4)/1000)/J6))</f>
        <v>4.03074615781568</v>
      </c>
      <c r="L42" s="214" t="s">
        <v>283</v>
      </c>
      <c r="M42" s="215"/>
      <c r="N42" s="216"/>
      <c r="O42" s="217" t="s">
        <v>210</v>
      </c>
      <c r="P42" s="218">
        <f>(P46*(A42/100))</f>
        <v>4.62643827488038</v>
      </c>
      <c r="Q42" s="119" t="s">
        <v>210</v>
      </c>
      <c r="R42" s="121">
        <f>(R46*(A42/100))</f>
        <v>80.9136973577982</v>
      </c>
      <c r="S42" s="219" t="s">
        <v>210</v>
      </c>
      <c r="T42" s="220">
        <f>+R50-R48</f>
        <v>9.18060397515461</v>
      </c>
    </row>
    <row r="43" spans="1:20">
      <c r="A43" s="129">
        <f>IF(K1="A",Tabla!$J$217,IF(K1="B",Tabla!$K$217,IF(K1="C",Tabla!$L$217,Tabla!$M$217)))</f>
        <v>0</v>
      </c>
      <c r="B43" s="221" t="s">
        <v>123</v>
      </c>
      <c r="C43" s="39" t="s">
        <v>181</v>
      </c>
      <c r="D43" s="40"/>
      <c r="E43" s="71">
        <f>+N1</f>
        <v>0</v>
      </c>
      <c r="F43" s="222" t="s">
        <v>210</v>
      </c>
      <c r="G43" s="223">
        <f>+I43*J6</f>
        <v>7192.85514027597</v>
      </c>
      <c r="H43" s="224"/>
      <c r="I43" s="225">
        <f>+((((T46*J4)/1000)/J6))</f>
        <v>5.0521613967172</v>
      </c>
      <c r="J43" s="226" t="s">
        <v>251</v>
      </c>
      <c r="K43" s="227">
        <f>K42*J6</f>
        <v>5738.64747061149</v>
      </c>
      <c r="L43" s="228" t="s">
        <v>9</v>
      </c>
      <c r="M43" s="229"/>
      <c r="N43" s="230"/>
      <c r="O43" s="119" t="s">
        <v>210</v>
      </c>
      <c r="P43" s="173">
        <f>+P48-P41-P44</f>
        <v>4.62643827488038</v>
      </c>
      <c r="Q43" s="119" t="s">
        <v>210</v>
      </c>
      <c r="R43" s="121">
        <f>+R48-R41-R44</f>
        <v>80.9136973577982</v>
      </c>
      <c r="S43" s="231" t="s">
        <v>284</v>
      </c>
      <c r="T43" s="232"/>
    </row>
    <row r="44" spans="1:20">
      <c r="A44" s="233">
        <f>IF(S1="AK",Tabla!$B$191,IF(S1="PM",Tabla!$B$192,IF(S1="4P",Tabla!$B$193,Tabla!$B$194)))+T2</f>
        <v>2</v>
      </c>
      <c r="B44" s="221" t="s">
        <v>252</v>
      </c>
      <c r="C44" s="234"/>
      <c r="D44" s="235"/>
      <c r="E44" s="71" t="str">
        <f>+S1</f>
        <v>AK</v>
      </c>
      <c r="F44" s="159" t="s">
        <v>210</v>
      </c>
      <c r="G44" s="236">
        <f>+I44*J6</f>
        <v>340.689252032834</v>
      </c>
      <c r="H44" s="237"/>
      <c r="I44" s="225">
        <f>+(((R44*J4)/1000)/J6)</f>
        <v>0.239295391583641</v>
      </c>
      <c r="J44" s="226" t="s">
        <v>251</v>
      </c>
      <c r="K44" s="238" t="s">
        <v>285</v>
      </c>
      <c r="L44" s="239" t="s">
        <v>210</v>
      </c>
      <c r="M44" s="240">
        <f>+I43-P43</f>
        <v>0.425723121836816</v>
      </c>
      <c r="O44" s="119" t="s">
        <v>210</v>
      </c>
      <c r="P44" s="173">
        <f>+P46*(A44/100)</f>
        <v>0.243496751309494</v>
      </c>
      <c r="Q44" s="139" t="s">
        <v>210</v>
      </c>
      <c r="R44" s="181">
        <f>+R48*(A44/100)</f>
        <v>4.25861565041043</v>
      </c>
      <c r="S44" s="219" t="s">
        <v>210</v>
      </c>
      <c r="T44" s="220">
        <f>+R43-T42</f>
        <v>71.7330933826436</v>
      </c>
    </row>
    <row r="45" ht="15.75" spans="1:20">
      <c r="A45" s="241">
        <v>0</v>
      </c>
      <c r="B45" s="170" t="s">
        <v>286</v>
      </c>
      <c r="C45" s="171"/>
      <c r="D45" s="172"/>
      <c r="E45" s="242">
        <v>1</v>
      </c>
      <c r="F45" s="222" t="s">
        <v>210</v>
      </c>
      <c r="G45" s="243">
        <f>+(D10*(N9+3)*S10*0.055)</f>
        <v>1426.425</v>
      </c>
      <c r="H45" s="244"/>
      <c r="I45" s="225">
        <f>+G45/J6</f>
        <v>1.00190107819074</v>
      </c>
      <c r="J45" s="212" t="s">
        <v>251</v>
      </c>
      <c r="K45" s="245">
        <f>+G43-K43</f>
        <v>1454.20766966449</v>
      </c>
      <c r="L45" s="154"/>
      <c r="M45" s="44"/>
      <c r="N45" s="44"/>
      <c r="O45" s="139" t="s">
        <v>210</v>
      </c>
      <c r="P45" s="187">
        <f>+I45*A45</f>
        <v>0</v>
      </c>
      <c r="Q45" s="119" t="s">
        <v>210</v>
      </c>
      <c r="R45" s="181">
        <f>(+J6*I45/J4*1000)*A45</f>
        <v>0</v>
      </c>
      <c r="S45" s="246"/>
      <c r="T45" s="247"/>
    </row>
    <row r="46" ht="15.75" spans="1:20">
      <c r="A46" s="248" t="s">
        <v>254</v>
      </c>
      <c r="B46" s="249" t="s">
        <v>255</v>
      </c>
      <c r="C46" s="250"/>
      <c r="D46" s="250"/>
      <c r="E46" s="251"/>
      <c r="F46" s="159" t="s">
        <v>210</v>
      </c>
      <c r="G46" s="223">
        <f>+I46*J6</f>
        <v>7192.85514027597</v>
      </c>
      <c r="H46" s="224"/>
      <c r="I46" s="225">
        <f>I43-(I45*E45*A45)</f>
        <v>5.0521613967172</v>
      </c>
      <c r="J46" s="212" t="s">
        <v>251</v>
      </c>
      <c r="K46" s="44"/>
      <c r="L46" s="44"/>
      <c r="M46" s="44"/>
      <c r="N46" s="44"/>
      <c r="O46" s="252" t="s">
        <v>210</v>
      </c>
      <c r="P46" s="253">
        <f>+P41/(1-((A42+A44)/100))</f>
        <v>12.1748375654747</v>
      </c>
      <c r="Q46" s="254" t="s">
        <v>210</v>
      </c>
      <c r="R46" s="255">
        <f>+R41/(1-((A42+A44)/100))</f>
        <v>212.930782520521</v>
      </c>
      <c r="S46" s="256">
        <f>+T46/R50</f>
        <v>0.4048</v>
      </c>
      <c r="T46" s="257">
        <f>+R50-R41-T47</f>
        <v>89.9106892534497</v>
      </c>
    </row>
    <row r="47" ht="15.75" spans="1:20">
      <c r="A47" s="258"/>
      <c r="B47" s="259"/>
      <c r="C47" s="259"/>
      <c r="D47" s="259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60" t="s">
        <v>210</v>
      </c>
      <c r="P47" s="261">
        <f>+P46*(E43/100)</f>
        <v>0</v>
      </c>
      <c r="Q47" s="254" t="s">
        <v>210</v>
      </c>
      <c r="R47" s="255">
        <f>+R46*(E43/100)</f>
        <v>0</v>
      </c>
      <c r="S47" s="44"/>
      <c r="T47" s="262">
        <f>+R50*(A44/100)</f>
        <v>4.44222772991352</v>
      </c>
    </row>
    <row r="48" ht="19.5" spans="1:20">
      <c r="A48" s="258"/>
      <c r="B48" s="259"/>
      <c r="C48" s="259"/>
      <c r="D48" s="259"/>
      <c r="E48" s="44"/>
      <c r="F48" s="263" t="s">
        <v>270</v>
      </c>
      <c r="G48" s="264"/>
      <c r="H48" s="264"/>
      <c r="I48" s="264"/>
      <c r="J48" s="264"/>
      <c r="K48" s="264"/>
      <c r="L48" s="264"/>
      <c r="M48" s="264"/>
      <c r="N48" s="265"/>
      <c r="O48" s="260" t="s">
        <v>210</v>
      </c>
      <c r="P48" s="261">
        <f>+P46+P47</f>
        <v>12.1748375654747</v>
      </c>
      <c r="Q48" s="254" t="s">
        <v>210</v>
      </c>
      <c r="R48" s="255">
        <f>+R46+R47</f>
        <v>212.930782520521</v>
      </c>
      <c r="S48" s="44"/>
      <c r="T48" s="266">
        <f>SUM(T46:T47)</f>
        <v>94.3529169833632</v>
      </c>
    </row>
    <row r="49" ht="19.5" spans="1:20">
      <c r="A49" s="258"/>
      <c r="B49" s="259"/>
      <c r="C49" s="259"/>
      <c r="D49" s="259"/>
      <c r="E49" s="44"/>
      <c r="F49" s="263"/>
      <c r="G49" s="264"/>
      <c r="H49" s="264"/>
      <c r="I49" s="264"/>
      <c r="J49" s="264"/>
      <c r="K49" s="264"/>
      <c r="L49" s="264"/>
      <c r="M49" s="267"/>
      <c r="N49" s="268"/>
      <c r="O49" s="269"/>
      <c r="P49" s="261"/>
      <c r="Q49" s="254" t="s">
        <v>210</v>
      </c>
      <c r="R49" s="255">
        <f>(+R41/(1-((A42+(A44+(A44*N13)))/100)))+R46*(E43/100)</f>
        <v>213.226931035849</v>
      </c>
      <c r="S49" s="44"/>
      <c r="T49" s="179"/>
    </row>
    <row r="50" ht="19.5" spans="1:20">
      <c r="A50" s="270"/>
      <c r="B50" s="271"/>
      <c r="C50" s="272"/>
      <c r="D50" s="273"/>
      <c r="E50" s="271"/>
      <c r="F50" s="263" t="s">
        <v>220</v>
      </c>
      <c r="G50" s="264"/>
      <c r="H50" s="264"/>
      <c r="I50" s="264"/>
      <c r="J50" s="274">
        <f>+K13</f>
        <v>30</v>
      </c>
      <c r="K50" s="264" t="s">
        <v>221</v>
      </c>
      <c r="L50" s="265"/>
      <c r="M50" s="275">
        <f>+N13</f>
        <v>0.0416666666666667</v>
      </c>
      <c r="N50" s="268"/>
      <c r="O50" s="276" t="s">
        <v>210</v>
      </c>
      <c r="P50" s="277">
        <f>+(P48*M50)+P48</f>
        <v>12.6821224640361</v>
      </c>
      <c r="Q50" s="278" t="s">
        <v>210</v>
      </c>
      <c r="R50" s="279">
        <f>+(R49*M50)+R49</f>
        <v>222.111386495676</v>
      </c>
      <c r="S50" s="271"/>
      <c r="T50" s="280"/>
    </row>
  </sheetData>
  <mergeCells count="128">
    <mergeCell ref="A1:B1"/>
    <mergeCell ref="C1:J1"/>
    <mergeCell ref="L1:M1"/>
    <mergeCell ref="S1:T1"/>
    <mergeCell ref="A2:B2"/>
    <mergeCell ref="C2:J2"/>
    <mergeCell ref="K2:L2"/>
    <mergeCell ref="M2:N2"/>
    <mergeCell ref="O2:P2"/>
    <mergeCell ref="Q2:R2"/>
    <mergeCell ref="B3:C3"/>
    <mergeCell ref="D3:E3"/>
    <mergeCell ref="G3:I3"/>
    <mergeCell ref="L3:M3"/>
    <mergeCell ref="Q3:R3"/>
    <mergeCell ref="S3:T3"/>
    <mergeCell ref="B4:C4"/>
    <mergeCell ref="D4:E4"/>
    <mergeCell ref="H4:I4"/>
    <mergeCell ref="S4:T4"/>
    <mergeCell ref="B5:C5"/>
    <mergeCell ref="D5:E5"/>
    <mergeCell ref="H5:I5"/>
    <mergeCell ref="S5:T5"/>
    <mergeCell ref="B6:C6"/>
    <mergeCell ref="D6:E6"/>
    <mergeCell ref="H6:I6"/>
    <mergeCell ref="P6:Q6"/>
    <mergeCell ref="S6:T6"/>
    <mergeCell ref="B7:C7"/>
    <mergeCell ref="G7:I7"/>
    <mergeCell ref="K7:M7"/>
    <mergeCell ref="P7:Q7"/>
    <mergeCell ref="S7:T7"/>
    <mergeCell ref="B8:C8"/>
    <mergeCell ref="D8:E8"/>
    <mergeCell ref="G8:I8"/>
    <mergeCell ref="L8:M8"/>
    <mergeCell ref="P8:Q8"/>
    <mergeCell ref="S8:T8"/>
    <mergeCell ref="B9:C9"/>
    <mergeCell ref="D9:E9"/>
    <mergeCell ref="G9:I9"/>
    <mergeCell ref="L9:M9"/>
    <mergeCell ref="P9:Q9"/>
    <mergeCell ref="S9:T9"/>
    <mergeCell ref="B10:C10"/>
    <mergeCell ref="D10:E10"/>
    <mergeCell ref="G10:I10"/>
    <mergeCell ref="L10:M10"/>
    <mergeCell ref="P10:Q10"/>
    <mergeCell ref="S10:T10"/>
    <mergeCell ref="G11:I11"/>
    <mergeCell ref="M11:O11"/>
    <mergeCell ref="P11:Q11"/>
    <mergeCell ref="G12:O12"/>
    <mergeCell ref="Q12:R12"/>
    <mergeCell ref="G13:J13"/>
    <mergeCell ref="L13:M13"/>
    <mergeCell ref="N13:O13"/>
    <mergeCell ref="Q13:R13"/>
    <mergeCell ref="A14:T14"/>
    <mergeCell ref="B15:D15"/>
    <mergeCell ref="F15:G15"/>
    <mergeCell ref="H15:I15"/>
    <mergeCell ref="M15:N15"/>
    <mergeCell ref="O15:P15"/>
    <mergeCell ref="Q15:R15"/>
    <mergeCell ref="S15:T15"/>
    <mergeCell ref="B16:D16"/>
    <mergeCell ref="F16:G16"/>
    <mergeCell ref="H16:I16"/>
    <mergeCell ref="B17:D17"/>
    <mergeCell ref="F17:G17"/>
    <mergeCell ref="H17:I17"/>
    <mergeCell ref="B18:D18"/>
    <mergeCell ref="F18:G18"/>
    <mergeCell ref="H18:I18"/>
    <mergeCell ref="B19:D19"/>
    <mergeCell ref="H19:I19"/>
    <mergeCell ref="B20:D20"/>
    <mergeCell ref="H20:I20"/>
    <mergeCell ref="B21:D21"/>
    <mergeCell ref="J21:K21"/>
    <mergeCell ref="B22:D22"/>
    <mergeCell ref="J22:K22"/>
    <mergeCell ref="B23:D23"/>
    <mergeCell ref="J23:K23"/>
    <mergeCell ref="B24:D24"/>
    <mergeCell ref="B25:D25"/>
    <mergeCell ref="J25:K25"/>
    <mergeCell ref="B26:D26"/>
    <mergeCell ref="J26:K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C38"/>
    <mergeCell ref="B39:D39"/>
    <mergeCell ref="B40:D40"/>
    <mergeCell ref="A41:J41"/>
    <mergeCell ref="L41:N41"/>
    <mergeCell ref="S41:T41"/>
    <mergeCell ref="C42:D42"/>
    <mergeCell ref="G42:H42"/>
    <mergeCell ref="L42:N42"/>
    <mergeCell ref="C43:D43"/>
    <mergeCell ref="G43:H43"/>
    <mergeCell ref="L43:N43"/>
    <mergeCell ref="S43:T43"/>
    <mergeCell ref="C44:D44"/>
    <mergeCell ref="G44:H44"/>
    <mergeCell ref="B45:D45"/>
    <mergeCell ref="G45:H45"/>
    <mergeCell ref="G46:H46"/>
    <mergeCell ref="F48:N48"/>
    <mergeCell ref="F50:I50"/>
    <mergeCell ref="K50:L50"/>
    <mergeCell ref="M50:N50"/>
    <mergeCell ref="A4:A6"/>
    <mergeCell ref="A11:F13"/>
  </mergeCells>
  <conditionalFormatting sqref="N1">
    <cfRule type="cellIs" dxfId="0" priority="126" operator="notBetween">
      <formula>0</formula>
      <formula>0</formula>
    </cfRule>
    <cfRule type="cellIs" dxfId="0" priority="127" operator="greaterThan">
      <formula>0</formula>
    </cfRule>
  </conditionalFormatting>
  <conditionalFormatting sqref="T2">
    <cfRule type="cellIs" dxfId="0" priority="128" operator="notBetween">
      <formula>0</formula>
      <formula>0</formula>
    </cfRule>
    <cfRule type="cellIs" dxfId="0" priority="129" operator="greaterThan">
      <formula>0</formula>
    </cfRule>
  </conditionalFormatting>
  <conditionalFormatting sqref="D7">
    <cfRule type="containsText" dxfId="1" priority="135" operator="between" text="NO">
      <formula>NOT(ISERROR(SEARCH("NO",D7)))</formula>
    </cfRule>
  </conditionalFormatting>
  <conditionalFormatting sqref="F7">
    <cfRule type="containsText" dxfId="1" priority="134" operator="between" text="NO">
      <formula>NOT(ISERROR(SEARCH("NO",F7)))</formula>
    </cfRule>
  </conditionalFormatting>
  <conditionalFormatting sqref="J7">
    <cfRule type="containsText" dxfId="1" priority="130" operator="between" text="NO">
      <formula>NOT(ISERROR(SEARCH("NO",J7)))</formula>
    </cfRule>
    <cfRule type="containsText" dxfId="2" priority="131" stopIfTrue="1" operator="between" text="BI">
      <formula>NOT(ISERROR(SEARCH("BI",J7)))</formula>
    </cfRule>
  </conditionalFormatting>
  <conditionalFormatting sqref="N7">
    <cfRule type="notContainsText" dxfId="1" priority="158" operator="notContains" text="SI">
      <formula>ISERROR(SEARCH("SI",N7))</formula>
    </cfRule>
  </conditionalFormatting>
  <conditionalFormatting sqref="S7">
    <cfRule type="cellIs" dxfId="0" priority="121" operator="notBetween">
      <formula>0</formula>
      <formula>0</formula>
    </cfRule>
    <cfRule type="cellIs" dxfId="0" priority="122" operator="greaterThan">
      <formula>0</formula>
    </cfRule>
  </conditionalFormatting>
  <conditionalFormatting sqref="N9">
    <cfRule type="containsText" dxfId="1" priority="1" operator="between" text="NO DISPBLE">
      <formula>NOT(ISERROR(SEARCH("NO DISPBLE",N9)))</formula>
    </cfRule>
  </conditionalFormatting>
  <conditionalFormatting sqref="S9:T9">
    <cfRule type="cellIs" dxfId="0" priority="136" operator="notEqual">
      <formula>100</formula>
    </cfRule>
  </conditionalFormatting>
  <conditionalFormatting sqref="J11">
    <cfRule type="containsText" dxfId="1" priority="125" operator="between" text="NO">
      <formula>NOT(ISERROR(SEARCH("NO",J11)))</formula>
    </cfRule>
  </conditionalFormatting>
  <conditionalFormatting sqref="L11">
    <cfRule type="cellIs" dxfId="0" priority="123" operator="greaterThan">
      <formula>0</formula>
    </cfRule>
  </conditionalFormatting>
  <conditionalFormatting sqref="R11">
    <cfRule type="cellIs" dxfId="0" priority="137" operator="notEqual">
      <formula>100</formula>
    </cfRule>
  </conditionalFormatting>
  <conditionalFormatting sqref="T11">
    <cfRule type="notContainsText" dxfId="1" priority="132" operator="notContains" text="1">
      <formula>ISERROR(SEARCH("1",T11))</formula>
    </cfRule>
  </conditionalFormatting>
  <conditionalFormatting sqref="J13">
    <cfRule type="cellIs" dxfId="0" priority="142" operator="greaterThan">
      <formula>0</formula>
    </cfRule>
  </conditionalFormatting>
  <conditionalFormatting sqref="A16:A18">
    <cfRule type="notContainsText" dxfId="1" priority="133" operator="notContains" text="1">
      <formula>ISERROR(SEARCH("1",A16))</formula>
    </cfRule>
  </conditionalFormatting>
  <conditionalFormatting sqref="A19:A20">
    <cfRule type="cellIs" dxfId="0" priority="141" operator="equal">
      <formula>"NO"</formula>
    </cfRule>
  </conditionalFormatting>
  <conditionalFormatting sqref="A39:A40">
    <cfRule type="cellIs" dxfId="0" priority="124" operator="equal">
      <formula>"NO"</formula>
    </cfRule>
  </conditionalFormatting>
  <conditionalFormatting sqref="D4:D6">
    <cfRule type="containsText" dxfId="3" priority="143" operator="between" text="BoppBlanco">
      <formula>NOT(ISERROR(SEARCH("BoppBlanco",D4)))</formula>
    </cfRule>
    <cfRule type="containsText" dxfId="4" priority="144" operator="between" text="FoilAluminio">
      <formula>NOT(ISERROR(SEARCH("FoilAluminio",D4)))</formula>
    </cfRule>
    <cfRule type="containsText" dxfId="5" priority="145" operator="between" text="PapelSeda">
      <formula>NOT(ISERROR(SEARCH("PapelSeda",D4)))</formula>
    </cfRule>
    <cfRule type="containsText" dxfId="6" priority="146" operator="between" text="PolietilenoEvohBco">
      <formula>NOT(ISERROR(SEARCH("PolietilenoEvohBco",D4)))</formula>
    </cfRule>
    <cfRule type="containsText" dxfId="7" priority="147" operator="between" text="PolietilenoEvohCtal">
      <formula>NOT(ISERROR(SEARCH("PolietilenoEvohCtal",D4)))</formula>
    </cfRule>
    <cfRule type="expression" dxfId="8" priority="148">
      <formula>D4="PolietilenoDpk"</formula>
    </cfRule>
    <cfRule type="expression" dxfId="9" priority="149" stopIfTrue="1">
      <formula>D4="BoppMate"</formula>
    </cfRule>
    <cfRule type="expression" dxfId="10" priority="150" stopIfTrue="1">
      <formula>D4="BoppCristal"</formula>
    </cfRule>
    <cfRule type="expression" dxfId="11" priority="151" stopIfTrue="1">
      <formula>D4="BoppMetalizado"</formula>
    </cfRule>
    <cfRule type="expression" dxfId="12" priority="152" stopIfTrue="1">
      <formula>D4="BoppPerladoBlanco"</formula>
    </cfRule>
    <cfRule type="expression" dxfId="13" priority="153" stopIfTrue="1">
      <formula>D4="PoliesterMetalizado"</formula>
    </cfRule>
    <cfRule type="expression" dxfId="14" priority="154" stopIfTrue="1">
      <formula>D4="PoliesterSaran"</formula>
    </cfRule>
    <cfRule type="expression" dxfId="15" priority="155" stopIfTrue="1">
      <formula>D4="PolietilenoBlanco"</formula>
    </cfRule>
    <cfRule type="expression" dxfId="16" priority="156" stopIfTrue="1">
      <formula>D4="PolietilenoCristal"</formula>
    </cfRule>
    <cfRule type="expression" dxfId="17" priority="157">
      <formula>D4="PoliesterCristal"</formula>
    </cfRule>
  </conditionalFormatting>
  <conditionalFormatting sqref="I48:I50">
    <cfRule type="cellIs" dxfId="0" priority="159" operator="greaterThan">
      <formula>0</formula>
    </cfRule>
  </conditionalFormatting>
  <conditionalFormatting sqref="J8:J10">
    <cfRule type="cellIs" dxfId="0" priority="140" operator="greaterThan">
      <formula>0</formula>
    </cfRule>
  </conditionalFormatting>
  <conditionalFormatting sqref="S3:T5">
    <cfRule type="containsText" dxfId="1" priority="138" operator="between" text="SI">
      <formula>NOT(ISERROR(SEARCH("SI",S3)))</formula>
    </cfRule>
  </conditionalFormatting>
  <dataValidations count="13">
    <dataValidation type="list" allowBlank="1" showInputMessage="1" showErrorMessage="1" sqref="K1">
      <formula1>Cliente</formula1>
    </dataValidation>
    <dataValidation type="list" allowBlank="1" showInputMessage="1" showErrorMessage="1" sqref="S1">
      <formula1>Vendedor</formula1>
    </dataValidation>
    <dataValidation type="list" allowBlank="1" showInputMessage="1" showErrorMessage="1" sqref="D7 F7 J11 S3:T5">
      <formula1>Tabla!$F$79:$G$79</formula1>
    </dataValidation>
    <dataValidation type="list" allowBlank="1" showInputMessage="1" showErrorMessage="1" sqref="J7 N7">
      <formula1>Tabla!$F$121:$H$121</formula1>
    </dataValidation>
    <dataValidation type="whole" operator="between" showInputMessage="1" showErrorMessage="1" error="Valor Mayor a 0" sqref="R8 T11">
      <formula1>1</formula1>
      <formula2>100</formula2>
    </dataValidation>
    <dataValidation type="list" allowBlank="1" showInputMessage="1" showErrorMessage="1" sqref="N10">
      <formula1>Tabla!$L$87:$L$106</formula1>
    </dataValidation>
    <dataValidation type="whole" operator="between" allowBlank="1" showInputMessage="1" showErrorMessage="1" error="Valor entre 1 y 8" sqref="R10">
      <formula1>1</formula1>
      <formula2>8</formula2>
    </dataValidation>
    <dataValidation type="list" allowBlank="1" showInputMessage="1" showErrorMessage="1" sqref="S12">
      <formula1>Tabla!$A$162:$A$188</formula1>
    </dataValidation>
    <dataValidation type="list" allowBlank="1" showInputMessage="1" showErrorMessage="1" sqref="T12">
      <formula1>Tabla!$B$161:$E$161</formula1>
    </dataValidation>
    <dataValidation type="list" allowBlank="1" showInputMessage="1" showErrorMessage="1" sqref="K13">
      <formula1>Tabla!$A$199:$A$202</formula1>
    </dataValidation>
    <dataValidation type="list" allowBlank="1" showInputMessage="1" showErrorMessage="1" sqref="B4:B6">
      <formula1>Material</formula1>
    </dataValidation>
    <dataValidation type="list" allowBlank="1" showInputMessage="1" showErrorMessage="1" sqref="D4:D6">
      <formula1>Tabla!$A$35:$R$35</formula1>
    </dataValidation>
    <dataValidation type="list" allowBlank="1" showInputMessage="1" showErrorMessage="1" sqref="F4:F6">
      <formula1>INDIRECT(D4)</formula1>
    </dataValidation>
  </dataValidations>
  <pageMargins left="0.393700787401575" right="0.708661417322835" top="0.47244094488189" bottom="0.748031496062992" header="0.31496062992126" footer="0.31496062992126"/>
  <pageSetup paperSize="9" scale="3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Tabla</vt:lpstr>
      <vt:lpstr>Bobina</vt:lpstr>
      <vt:lpstr>Confeccion DPK</vt:lpstr>
      <vt:lpstr>Confeccion Pouch</vt:lpstr>
      <vt:lpstr>Confeccion 4Costuras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G. Kohner - 4 PACK</dc:creator>
  <cp:lastModifiedBy>Nicolas osole</cp:lastModifiedBy>
  <dcterms:created xsi:type="dcterms:W3CDTF">2014-07-08T17:22:00Z</dcterms:created>
  <cp:lastPrinted>2025-05-07T15:21:00Z</cp:lastPrinted>
  <dcterms:modified xsi:type="dcterms:W3CDTF">2026-09-21T13:20:30Z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01C6F377136E43D39A7331FA62AFDC1F_12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